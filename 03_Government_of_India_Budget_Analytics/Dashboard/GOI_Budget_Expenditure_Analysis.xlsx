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anchu\Documents\GitHub\Portfolio\03_Government_of_India_Budget_Analytics\Dashboard\"/>
    </mc:Choice>
  </mc:AlternateContent>
  <xr:revisionPtr revIDLastSave="0" documentId="8_{60C2128C-0BE8-4F48-8CED-25B077B8E09E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GOI_Expenditure_Clean" sheetId="2" r:id="rId1"/>
    <sheet name="Analysis" sheetId="3" r:id="rId2"/>
    <sheet name="Pivot_Analysis" sheetId="4" r:id="rId3"/>
    <sheet name="Dashboard" sheetId="5" r:id="rId4"/>
    <sheet name="Calc" sheetId="6" state="hidden" r:id="rId5"/>
  </sheets>
  <definedNames>
    <definedName name="ExternalData_1" localSheetId="0" hidden="1">GOI_Expenditure_Clean!$A$1:$R$103</definedName>
  </definedName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6" l="1"/>
  <c r="A1" i="6"/>
  <c r="B38" i="4"/>
  <c r="B37" i="4"/>
  <c r="B36" i="4"/>
  <c r="B35" i="4"/>
  <c r="M6" i="5"/>
  <c r="I6" i="5"/>
  <c r="E6" i="5"/>
  <c r="A6" i="5"/>
  <c r="B9" i="3"/>
  <c r="B8" i="3"/>
  <c r="B7" i="3"/>
  <c r="B6" i="3"/>
  <c r="B5" i="3"/>
  <c r="B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4203B3-A079-4ED0-B8AD-2B1E4918F143}" keepAlive="1" name="Query - GOI_Expenditure_Clean" description="Connection to the 'GOI_Expenditure_Clean' query in the workbook." type="5" refreshedVersion="8" background="1" saveData="1">
    <dbPr connection="Provider=Microsoft.Mashup.OleDb.1;Data Source=$Workbook$;Location=GOI_Expenditure_Clean;Extended Properties=&quot;&quot;" command="SELECT * FROM [GOI_Expenditure_Clean]"/>
  </connection>
</connections>
</file>

<file path=xl/sharedStrings.xml><?xml version="1.0" encoding="utf-8"?>
<sst xmlns="http://schemas.openxmlformats.org/spreadsheetml/2006/main" count="305" uniqueCount="248">
  <si>
    <t>Grand Total</t>
  </si>
  <si>
    <t>Demand No</t>
  </si>
  <si>
    <t>Ministry Department</t>
  </si>
  <si>
    <t>Actual_2024_25_Revenue</t>
  </si>
  <si>
    <t>Actual_2024_25_Capital</t>
  </si>
  <si>
    <t>Actual_2024_25_Total</t>
  </si>
  <si>
    <t>BE_2025_26_Revenue</t>
  </si>
  <si>
    <t>BE_2025_26_Capital</t>
  </si>
  <si>
    <t>BE_2025_26_Total</t>
  </si>
  <si>
    <t>RE_2025_26_Revenue</t>
  </si>
  <si>
    <t>RE_2025_26_Capital</t>
  </si>
  <si>
    <t>RE_2025_26_Total</t>
  </si>
  <si>
    <t>BE_2026_27_Revenue</t>
  </si>
  <si>
    <t>BE_2026_27_Capital</t>
  </si>
  <si>
    <t>BE_2026_27_Total</t>
  </si>
  <si>
    <t>1</t>
  </si>
  <si>
    <t>Department of Agriculture and Farmers Welfare</t>
  </si>
  <si>
    <t>2</t>
  </si>
  <si>
    <t>Department of Agricultural Research and Education</t>
  </si>
  <si>
    <t>3</t>
  </si>
  <si>
    <t>Atomic Energy</t>
  </si>
  <si>
    <t>4</t>
  </si>
  <si>
    <t>Ministry of Ayush</t>
  </si>
  <si>
    <t>5</t>
  </si>
  <si>
    <t>Department of Chemicals and Petrochemicals</t>
  </si>
  <si>
    <t>6</t>
  </si>
  <si>
    <t>Department of Fertilisers</t>
  </si>
  <si>
    <t>7</t>
  </si>
  <si>
    <t>Department of Pharmaceuticals</t>
  </si>
  <si>
    <t>8</t>
  </si>
  <si>
    <t>Ministry of Civil Aviation</t>
  </si>
  <si>
    <t>9</t>
  </si>
  <si>
    <t>Ministry of Coal</t>
  </si>
  <si>
    <t>10</t>
  </si>
  <si>
    <t>Department of Commerce</t>
  </si>
  <si>
    <t>11</t>
  </si>
  <si>
    <t>Department for Promotion of Industry and Internal Trade</t>
  </si>
  <si>
    <t>12</t>
  </si>
  <si>
    <t>Department of Posts</t>
  </si>
  <si>
    <t>13</t>
  </si>
  <si>
    <t>Department of Telecommunications</t>
  </si>
  <si>
    <t>14</t>
  </si>
  <si>
    <t>Department of Consumer Affairs</t>
  </si>
  <si>
    <t>15</t>
  </si>
  <si>
    <t>Department of Food and Public Distribution</t>
  </si>
  <si>
    <t>16</t>
  </si>
  <si>
    <t>Ministry of Cooperation</t>
  </si>
  <si>
    <t>17</t>
  </si>
  <si>
    <t>Ministry of Corporate Affairs</t>
  </si>
  <si>
    <t>18</t>
  </si>
  <si>
    <t>Ministry of Culture</t>
  </si>
  <si>
    <t>19</t>
  </si>
  <si>
    <t>Ministry of Defence (Civil)</t>
  </si>
  <si>
    <t>20</t>
  </si>
  <si>
    <t>Defence Services (Revenue)</t>
  </si>
  <si>
    <t>21</t>
  </si>
  <si>
    <t>Capital Outlay on Defence Services</t>
  </si>
  <si>
    <t>22</t>
  </si>
  <si>
    <t>Defence Pensions</t>
  </si>
  <si>
    <t>23</t>
  </si>
  <si>
    <t>Ministry of Development of North Eastern Region</t>
  </si>
  <si>
    <t>24</t>
  </si>
  <si>
    <t>Ministry of Earth Sciences</t>
  </si>
  <si>
    <t>25</t>
  </si>
  <si>
    <t>Department of School Education and Literacy</t>
  </si>
  <si>
    <t>26</t>
  </si>
  <si>
    <t>Department of Higher Education</t>
  </si>
  <si>
    <t>27</t>
  </si>
  <si>
    <t>Ministry of Electronics and Information Technology</t>
  </si>
  <si>
    <t>28</t>
  </si>
  <si>
    <t>Ministry of Environment, Forests and Climate Change</t>
  </si>
  <si>
    <t>29</t>
  </si>
  <si>
    <t>Ministry of External Affairs</t>
  </si>
  <si>
    <t>30</t>
  </si>
  <si>
    <t>Department of Economic Affairs</t>
  </si>
  <si>
    <t>31</t>
  </si>
  <si>
    <t>Department of Expenditure</t>
  </si>
  <si>
    <t>32</t>
  </si>
  <si>
    <t>Department of Financial Services</t>
  </si>
  <si>
    <t>33</t>
  </si>
  <si>
    <t>Department of Public Enterprises</t>
  </si>
  <si>
    <t>34</t>
  </si>
  <si>
    <t>Department of Investment and Public Asset Management (DIPAM)</t>
  </si>
  <si>
    <t>35</t>
  </si>
  <si>
    <t>Department of Revenue</t>
  </si>
  <si>
    <t>36</t>
  </si>
  <si>
    <t>Direct Taxes</t>
  </si>
  <si>
    <t>37</t>
  </si>
  <si>
    <t>Indirect Taxes</t>
  </si>
  <si>
    <t>38</t>
  </si>
  <si>
    <t>Indian Audit and Accounts Department</t>
  </si>
  <si>
    <t>39</t>
  </si>
  <si>
    <t>Interest Payments</t>
  </si>
  <si>
    <t>40</t>
  </si>
  <si>
    <t>Repayment of Debt</t>
  </si>
  <si>
    <t>41</t>
  </si>
  <si>
    <t>Pensions</t>
  </si>
  <si>
    <t>42</t>
  </si>
  <si>
    <t>Transfers to States</t>
  </si>
  <si>
    <t>43</t>
  </si>
  <si>
    <t>Department of Fisheries</t>
  </si>
  <si>
    <t>44</t>
  </si>
  <si>
    <t>Department of Animal Husbandry and Dairying</t>
  </si>
  <si>
    <t>45</t>
  </si>
  <si>
    <t>Ministry of Food Processing Industries</t>
  </si>
  <si>
    <t>46</t>
  </si>
  <si>
    <t>Department of Health and Family Welfare</t>
  </si>
  <si>
    <t>47</t>
  </si>
  <si>
    <t>Department of Health Research</t>
  </si>
  <si>
    <t>48</t>
  </si>
  <si>
    <t>Ministry of Heavy Industries</t>
  </si>
  <si>
    <t>49</t>
  </si>
  <si>
    <t>Ministry of Home Affairs</t>
  </si>
  <si>
    <t>50</t>
  </si>
  <si>
    <t>Cabinet</t>
  </si>
  <si>
    <t>51</t>
  </si>
  <si>
    <t>Police</t>
  </si>
  <si>
    <t>52</t>
  </si>
  <si>
    <t>Andaman and Nicobar Islands</t>
  </si>
  <si>
    <t>53</t>
  </si>
  <si>
    <t>Chandigarh</t>
  </si>
  <si>
    <t>54</t>
  </si>
  <si>
    <t>Dadra and Nagar Haveli and Daman and Diu</t>
  </si>
  <si>
    <t>55</t>
  </si>
  <si>
    <t>Ladakh</t>
  </si>
  <si>
    <t>56</t>
  </si>
  <si>
    <t>Lakshadweep</t>
  </si>
  <si>
    <t>57</t>
  </si>
  <si>
    <t>Transfers to Delhi</t>
  </si>
  <si>
    <t>58</t>
  </si>
  <si>
    <t>Transfers to Jammu and Kashmir</t>
  </si>
  <si>
    <t>59</t>
  </si>
  <si>
    <t>Transfers to Puducherry</t>
  </si>
  <si>
    <t>60</t>
  </si>
  <si>
    <t>Ministry of Housing and Urban Affairs</t>
  </si>
  <si>
    <t>61</t>
  </si>
  <si>
    <t>Ministry of Information and Broadcasting</t>
  </si>
  <si>
    <t>62</t>
  </si>
  <si>
    <t>Department of Water Resources, River Development and Ganga Rejuvenation</t>
  </si>
  <si>
    <t>63</t>
  </si>
  <si>
    <t>Department of Drinking Water and Sanitation</t>
  </si>
  <si>
    <t>64</t>
  </si>
  <si>
    <t>Ministry of Labour and Employment</t>
  </si>
  <si>
    <t>65</t>
  </si>
  <si>
    <t>Law and Justice</t>
  </si>
  <si>
    <t>66</t>
  </si>
  <si>
    <t>Election Commission</t>
  </si>
  <si>
    <t>67</t>
  </si>
  <si>
    <t>Supreme Court of India</t>
  </si>
  <si>
    <t>68</t>
  </si>
  <si>
    <t>Ministry of Micro, Small and Medium Enterprises</t>
  </si>
  <si>
    <t>69</t>
  </si>
  <si>
    <t>Ministry of Mines</t>
  </si>
  <si>
    <t>70</t>
  </si>
  <si>
    <t>Ministry of Minority Affairs</t>
  </si>
  <si>
    <t>71</t>
  </si>
  <si>
    <t>Ministry of New and Renewable Energy</t>
  </si>
  <si>
    <t>72</t>
  </si>
  <si>
    <t>Ministry of Panchayati Raj</t>
  </si>
  <si>
    <t>73</t>
  </si>
  <si>
    <t>Ministry of Parliamentary Affairs</t>
  </si>
  <si>
    <t>74</t>
  </si>
  <si>
    <t>Ministry of Personnel, Public Grievances and Pensions</t>
  </si>
  <si>
    <t>75</t>
  </si>
  <si>
    <t>Central Vigilance Commission</t>
  </si>
  <si>
    <t>76</t>
  </si>
  <si>
    <t>Ministry of Petroleum and Natural Gas</t>
  </si>
  <si>
    <t>77</t>
  </si>
  <si>
    <t>Ministry of Planning</t>
  </si>
  <si>
    <t>78</t>
  </si>
  <si>
    <t>Ministry of Ports, Shipping and Waterways</t>
  </si>
  <si>
    <t>79</t>
  </si>
  <si>
    <t>Ministry of Power</t>
  </si>
  <si>
    <t>80</t>
  </si>
  <si>
    <t>Staff, Household and Allowances of the President</t>
  </si>
  <si>
    <t>81</t>
  </si>
  <si>
    <t>Lok Sabha</t>
  </si>
  <si>
    <t>82</t>
  </si>
  <si>
    <t>Rajya Sabha</t>
  </si>
  <si>
    <t>83</t>
  </si>
  <si>
    <t>Secretariat of the Vice-President</t>
  </si>
  <si>
    <t>84</t>
  </si>
  <si>
    <t>Union Public Service Commission</t>
  </si>
  <si>
    <t>85</t>
  </si>
  <si>
    <t>Ministry of Railways</t>
  </si>
  <si>
    <t>86</t>
  </si>
  <si>
    <t>Ministry of Road Transport and Highways</t>
  </si>
  <si>
    <t>87</t>
  </si>
  <si>
    <t>Department of Rural Development</t>
  </si>
  <si>
    <t>88</t>
  </si>
  <si>
    <t>Department of Land Resources</t>
  </si>
  <si>
    <t>89</t>
  </si>
  <si>
    <t>Department of Science and Technology</t>
  </si>
  <si>
    <t>90</t>
  </si>
  <si>
    <t>Department of Biotechnology</t>
  </si>
  <si>
    <t>91</t>
  </si>
  <si>
    <t>Department of Scientific and Industrial Research</t>
  </si>
  <si>
    <t>92</t>
  </si>
  <si>
    <t>Ministry of Skill Development and Entrepreneurship</t>
  </si>
  <si>
    <t>93</t>
  </si>
  <si>
    <t>Department of Social Justice and Empowerment</t>
  </si>
  <si>
    <t>94</t>
  </si>
  <si>
    <t>Department of Empowerment of Persons with Disabilities</t>
  </si>
  <si>
    <t>95</t>
  </si>
  <si>
    <t>Department of Space</t>
  </si>
  <si>
    <t>96</t>
  </si>
  <si>
    <t>Ministry of Statistics and Programme Implementation</t>
  </si>
  <si>
    <t>97</t>
  </si>
  <si>
    <t>Ministry of Steel</t>
  </si>
  <si>
    <t>98</t>
  </si>
  <si>
    <t>Ministry of Textiles</t>
  </si>
  <si>
    <t>99</t>
  </si>
  <si>
    <t>Ministry of Tourism</t>
  </si>
  <si>
    <t>100</t>
  </si>
  <si>
    <t>Ministry of Tribal Affairs</t>
  </si>
  <si>
    <t>101</t>
  </si>
  <si>
    <t>Ministry of Women and Child Development</t>
  </si>
  <si>
    <t>102</t>
  </si>
  <si>
    <t>Ministry of Youth Affairs and Sports</t>
  </si>
  <si>
    <t>RE_vs_BE_2025_26_Variance</t>
  </si>
  <si>
    <t>RE_vs_BE_2025_26_Variance_Pct</t>
  </si>
  <si>
    <t>BE_2026_27_vs_RE_2025_26_Variance</t>
  </si>
  <si>
    <t>BE_2026_27_vs_RE_2025_26_Variance_Pct</t>
  </si>
  <si>
    <t>Government of India – Budget &amp; Expenditure Performance Analysis</t>
  </si>
  <si>
    <t>KPI</t>
  </si>
  <si>
    <t>Value</t>
  </si>
  <si>
    <t>Actual Expenditure 2024–25</t>
  </si>
  <si>
    <t>Budget Estimate 2025–26</t>
  </si>
  <si>
    <t>Revised Estimate 2025–26</t>
  </si>
  <si>
    <t>Budget Estimate 2026–27</t>
  </si>
  <si>
    <t>RE vs BE Variance %</t>
  </si>
  <si>
    <t>BE 2026–27 Growth vs RE 2025–26 %</t>
  </si>
  <si>
    <t>RE vs BE Variance (₹ Cr)</t>
  </si>
  <si>
    <t>ACTUAL EXPENDITURE 2024–25</t>
  </si>
  <si>
    <t>BUDGET ESTIMATE 2025–26</t>
  </si>
  <si>
    <t>REVISED ESTIMATE 2025–26</t>
  </si>
  <si>
    <t>BUDGET ESTIMATE 2026–27</t>
  </si>
  <si>
    <t>Budget Stage</t>
  </si>
  <si>
    <t>Amount (₹ Cr)</t>
  </si>
  <si>
    <t>Actual 2024–25</t>
  </si>
  <si>
    <t>BE 2025–26</t>
  </si>
  <si>
    <t>RE 2025–26</t>
  </si>
  <si>
    <t>BE 2026–27</t>
  </si>
  <si>
    <t>All Figures in
₹ Crore</t>
  </si>
  <si>
    <t>BE 2026–27 (₹ Cr)</t>
  </si>
  <si>
    <t>Government Demand / Department</t>
  </si>
  <si>
    <t>RE vs BE (₹ Cr)</t>
  </si>
  <si>
    <t>RE vs BE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</si>
</sst>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71" formatCode="\₹\ #,##0.00&quot; Cr&quot;"/>
    <numFmt numFmtId="172" formatCode="#,##0.00&quot; Cr&quot;"/>
    <numFmt numFmtId="174" formatCode="#,##0.00\ \C\R"/>
  </numFmts>
  <fonts count="13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6"/>
      <color theme="0"/>
      <name val="Calibri"/>
      <family val="2"/>
    </font>
    <font>
      <b/>
      <sz val="14"/>
      <color theme="3" tint="-0.249977111117893"/>
      <name val="Calibri"/>
      <family val="2"/>
    </font>
    <font>
      <sz val="10"/>
      <color theme="0"/>
      <name val="Calibri"/>
      <family val="2"/>
    </font>
    <font>
      <b/>
      <sz val="12"/>
      <color theme="3" tint="-0.249977111117893"/>
      <name val="Calibri"/>
      <family val="2"/>
    </font>
    <font>
      <b/>
      <sz val="18"/>
      <color rgb="FF2E8B57"/>
      <name val="Calibri"/>
      <family val="2"/>
    </font>
    <font>
      <b/>
      <sz val="18"/>
      <color rgb="FF2F75B5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AF6EC"/>
        <bgColor indexed="64"/>
      </patternFill>
    </fill>
    <fill>
      <patternFill patternType="solid">
        <fgColor rgb="FFEAF3F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3">
    <xf numFmtId="0" fontId="1" fillId="0" borderId="0" xfId="0" applyFont="1"/>
    <xf numFmtId="0" fontId="1" fillId="0" borderId="0" xfId="0" applyNumberFormat="1" applyFont="1"/>
    <xf numFmtId="10" fontId="1" fillId="0" borderId="0" xfId="2" applyNumberFormat="1" applyFont="1"/>
    <xf numFmtId="0" fontId="0" fillId="0" borderId="0" xfId="0" applyFont="1"/>
    <xf numFmtId="10" fontId="0" fillId="0" borderId="0" xfId="2" applyNumberFormat="1" applyFont="1"/>
    <xf numFmtId="0" fontId="0" fillId="0" borderId="0" xfId="0" applyFont="1" applyAlignment="1">
      <alignment horizontal="center"/>
    </xf>
    <xf numFmtId="171" fontId="0" fillId="0" borderId="0" xfId="1" applyNumberFormat="1" applyFont="1"/>
    <xf numFmtId="0" fontId="1" fillId="0" borderId="0" xfId="0" pivotButton="1" applyFont="1"/>
    <xf numFmtId="0" fontId="5" fillId="2" borderId="1" xfId="0" applyFont="1" applyFill="1" applyBorder="1"/>
    <xf numFmtId="172" fontId="1" fillId="0" borderId="0" xfId="0" applyNumberFormat="1" applyFont="1"/>
    <xf numFmtId="174" fontId="1" fillId="0" borderId="0" xfId="0" applyNumberFormat="1" applyFont="1"/>
    <xf numFmtId="10" fontId="1" fillId="0" borderId="0" xfId="0" applyNumberFormat="1" applyFont="1"/>
    <xf numFmtId="0" fontId="1" fillId="0" borderId="0" xfId="0" applyFont="1" applyAlignment="1"/>
    <xf numFmtId="0" fontId="6" fillId="3" borderId="0" xfId="0" applyFont="1" applyFill="1" applyAlignment="1">
      <alignment horizontal="center"/>
    </xf>
    <xf numFmtId="0" fontId="1" fillId="5" borderId="0" xfId="0" applyFont="1" applyFill="1"/>
    <xf numFmtId="0" fontId="0" fillId="6" borderId="0" xfId="0" applyFont="1" applyFill="1"/>
    <xf numFmtId="0" fontId="4" fillId="2" borderId="1" xfId="0" applyFont="1" applyFill="1" applyBorder="1"/>
    <xf numFmtId="172" fontId="0" fillId="0" borderId="0" xfId="0" applyNumberFormat="1" applyFont="1"/>
    <xf numFmtId="0" fontId="7" fillId="3" borderId="0" xfId="0" applyFont="1" applyFill="1" applyAlignment="1"/>
    <xf numFmtId="171" fontId="8" fillId="6" borderId="0" xfId="0" applyNumberFormat="1" applyFont="1" applyFill="1" applyBorder="1" applyAlignment="1">
      <alignment horizontal="center" vertical="center"/>
    </xf>
    <xf numFmtId="0" fontId="1" fillId="4" borderId="0" xfId="0" applyFont="1" applyFill="1" applyAlignment="1"/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171" fontId="10" fillId="6" borderId="0" xfId="0" applyNumberFormat="1" applyFont="1" applyFill="1" applyBorder="1" applyAlignment="1">
      <alignment horizontal="center" vertical="center"/>
    </xf>
    <xf numFmtId="171" fontId="10" fillId="7" borderId="0" xfId="0" applyNumberFormat="1" applyFont="1" applyFill="1" applyBorder="1" applyAlignment="1">
      <alignment horizontal="center" vertical="center"/>
    </xf>
    <xf numFmtId="171" fontId="8" fillId="7" borderId="0" xfId="0" applyNumberFormat="1" applyFont="1" applyFill="1" applyBorder="1" applyAlignment="1">
      <alignment horizontal="center" vertical="center"/>
    </xf>
    <xf numFmtId="171" fontId="10" fillId="8" borderId="0" xfId="0" applyNumberFormat="1" applyFont="1" applyFill="1" applyBorder="1" applyAlignment="1">
      <alignment horizontal="center" vertical="center"/>
    </xf>
    <xf numFmtId="171" fontId="8" fillId="8" borderId="0" xfId="0" applyNumberFormat="1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1" fillId="0" borderId="0" xfId="0" applyFont="1" applyAlignment="1"/>
    <xf numFmtId="0" fontId="12" fillId="0" borderId="0" xfId="0" applyFont="1" applyAlignment="1"/>
    <xf numFmtId="2" fontId="1" fillId="0" borderId="0" xfId="0" applyNumberFormat="1" applyFont="1"/>
  </cellXfs>
  <cellStyles count="3">
    <cellStyle name="Comma" xfId="1" builtinId="3"/>
    <cellStyle name="Normal" xfId="0" builtinId="0"/>
    <cellStyle name="Per cent" xfId="2" builtinId="5"/>
  </cellStyles>
  <dxfs count="18">
    <dxf>
      <numFmt numFmtId="2" formatCode="0.00"/>
    </dxf>
    <dxf>
      <numFmt numFmtId="14" formatCode="0.00%"/>
    </dxf>
    <dxf>
      <numFmt numFmtId="174" formatCode="#,##0.00\ \C\R"/>
    </dxf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</dxfs>
  <tableStyles count="0" defaultTableStyle="TableStyleMedium9" defaultPivotStyle="PivotStyleLight16"/>
  <colors>
    <mruColors>
      <color rgb="FFEAF2F8"/>
      <color rgb="FF163A5F"/>
      <color rgb="FF3F6683"/>
      <color rgb="FFD85C5C"/>
      <color rgb="FFE3E8EE"/>
      <color rgb="FF4C5F27"/>
      <color rgb="FF315C8A"/>
      <color rgb="FF2F75B5"/>
      <color rgb="FF2E8B57"/>
      <color rgb="FFEA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[GOI_Budget_Expenditure_Analysis.xlsx]Pivot_Analysis!PivotTable1</c:name>
    <c:fmtId val="3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Pivot_Analysis!$A$4:$A$13</c:f>
              <c:strCache>
                <c:ptCount val="10"/>
                <c:pt idx="0">
                  <c:v>Defence Pensions</c:v>
                </c:pt>
                <c:pt idx="1">
                  <c:v>Police</c:v>
                </c:pt>
                <c:pt idx="2">
                  <c:v>Department of Rural Development</c:v>
                </c:pt>
                <c:pt idx="3">
                  <c:v>Capital Outlay on Defence Services</c:v>
                </c:pt>
                <c:pt idx="4">
                  <c:v>Department of Food and Public Distribution</c:v>
                </c:pt>
                <c:pt idx="5">
                  <c:v>Ministry of Railways</c:v>
                </c:pt>
                <c:pt idx="6">
                  <c:v>Ministry of Road Transport and Highways</c:v>
                </c:pt>
                <c:pt idx="7">
                  <c:v>Defence Services (Revenue)</c:v>
                </c:pt>
                <c:pt idx="8">
                  <c:v>Transfers to States</c:v>
                </c:pt>
                <c:pt idx="9">
                  <c:v>Interest Payments</c:v>
                </c:pt>
              </c:strCache>
            </c:strRef>
          </c:cat>
          <c:val>
            <c:numRef>
              <c:f>Pivot_Analysis!$B$4:$B$13</c:f>
              <c:numCache>
                <c:formatCode>#,##0.00\ \C\R</c:formatCode>
                <c:ptCount val="10"/>
                <c:pt idx="0">
                  <c:v>171338.22</c:v>
                </c:pt>
                <c:pt idx="1">
                  <c:v>173802.53</c:v>
                </c:pt>
                <c:pt idx="2">
                  <c:v>194368.81</c:v>
                </c:pt>
                <c:pt idx="3">
                  <c:v>219306.47</c:v>
                </c:pt>
                <c:pt idx="4">
                  <c:v>235047.2</c:v>
                </c:pt>
                <c:pt idx="5">
                  <c:v>281377.32</c:v>
                </c:pt>
                <c:pt idx="6">
                  <c:v>309875.3</c:v>
                </c:pt>
                <c:pt idx="7">
                  <c:v>365478.98</c:v>
                </c:pt>
                <c:pt idx="8">
                  <c:v>394183.52</c:v>
                </c:pt>
                <c:pt idx="9">
                  <c:v>1403971.79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8-4586-A3F1-8688F4F9D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5431855"/>
        <c:axId val="221306352"/>
      </c:barChart>
      <c:catAx>
        <c:axId val="905431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306352"/>
        <c:crosses val="autoZero"/>
        <c:auto val="1"/>
        <c:lblAlgn val="ctr"/>
        <c:lblOffset val="100"/>
        <c:noMultiLvlLbl val="0"/>
      </c:catAx>
      <c:valAx>
        <c:axId val="22130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\C\R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431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[GOI_Budget_Expenditure_Analysis.xlsx]Pivot_Analysis!PivotTable1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accent1">
                    <a:lumMod val="75000"/>
                    <a:alpha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ln>
                  <a:noFill/>
                </a:ln>
                <a:solidFill>
                  <a:schemeClr val="accent1">
                    <a:lumMod val="75000"/>
                    <a:alpha val="95000"/>
                  </a:schemeClr>
                </a:solidFill>
              </a:rPr>
              <a:t>Top10_BE2026_27_Allocations</a:t>
            </a:r>
            <a:endParaRPr lang="en-US">
              <a:ln>
                <a:noFill/>
              </a:ln>
              <a:solidFill>
                <a:schemeClr val="accent1">
                  <a:lumMod val="75000"/>
                  <a:alpha val="9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accent1">
                  <a:lumMod val="75000"/>
                  <a:alpha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Pivot_Analysis!$A$4:$A$13</c:f>
              <c:strCache>
                <c:ptCount val="10"/>
                <c:pt idx="0">
                  <c:v>Defence Pensions</c:v>
                </c:pt>
                <c:pt idx="1">
                  <c:v>Police</c:v>
                </c:pt>
                <c:pt idx="2">
                  <c:v>Department of Rural Development</c:v>
                </c:pt>
                <c:pt idx="3">
                  <c:v>Capital Outlay on Defence Services</c:v>
                </c:pt>
                <c:pt idx="4">
                  <c:v>Department of Food and Public Distribution</c:v>
                </c:pt>
                <c:pt idx="5">
                  <c:v>Ministry of Railways</c:v>
                </c:pt>
                <c:pt idx="6">
                  <c:v>Ministry of Road Transport and Highways</c:v>
                </c:pt>
                <c:pt idx="7">
                  <c:v>Defence Services (Revenue)</c:v>
                </c:pt>
                <c:pt idx="8">
                  <c:v>Transfers to States</c:v>
                </c:pt>
                <c:pt idx="9">
                  <c:v>Interest Payments</c:v>
                </c:pt>
              </c:strCache>
            </c:strRef>
          </c:cat>
          <c:val>
            <c:numRef>
              <c:f>Pivot_Analysis!$B$4:$B$13</c:f>
              <c:numCache>
                <c:formatCode>#,##0.00\ \C\R</c:formatCode>
                <c:ptCount val="10"/>
                <c:pt idx="0">
                  <c:v>171338.22</c:v>
                </c:pt>
                <c:pt idx="1">
                  <c:v>173802.53</c:v>
                </c:pt>
                <c:pt idx="2">
                  <c:v>194368.81</c:v>
                </c:pt>
                <c:pt idx="3">
                  <c:v>219306.47</c:v>
                </c:pt>
                <c:pt idx="4">
                  <c:v>235047.2</c:v>
                </c:pt>
                <c:pt idx="5">
                  <c:v>281377.32</c:v>
                </c:pt>
                <c:pt idx="6">
                  <c:v>309875.3</c:v>
                </c:pt>
                <c:pt idx="7">
                  <c:v>365478.98</c:v>
                </c:pt>
                <c:pt idx="8">
                  <c:v>394183.52</c:v>
                </c:pt>
                <c:pt idx="9">
                  <c:v>1403971.79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9-43A0-805F-253DE78691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9527392"/>
        <c:axId val="221315472"/>
      </c:barChart>
      <c:catAx>
        <c:axId val="619527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315472"/>
        <c:crosses val="autoZero"/>
        <c:auto val="1"/>
        <c:lblAlgn val="ctr"/>
        <c:lblOffset val="100"/>
        <c:noMultiLvlLbl val="0"/>
      </c:catAx>
      <c:valAx>
        <c:axId val="22131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2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Positive Budget Revisions – RE vs BE 2025–26 (₹ Cr)</a:t>
            </a:r>
            <a:r>
              <a:rPr lang="en-IN"/>
              <a:t> </a:t>
            </a:r>
          </a:p>
        </c:rich>
      </c:tx>
      <c:layout>
        <c:manualLayout>
          <c:xMode val="edge"/>
          <c:yMode val="edge"/>
          <c:x val="0.124954015941140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Pivot_Analysis!$E$21:$E$30</c:f>
              <c:strCache>
                <c:ptCount val="10"/>
                <c:pt idx="0">
                  <c:v>Department of Economic Affairs</c:v>
                </c:pt>
                <c:pt idx="1">
                  <c:v>Defence Services (Revenue)</c:v>
                </c:pt>
                <c:pt idx="2">
                  <c:v>Department of Fertilisers</c:v>
                </c:pt>
                <c:pt idx="3">
                  <c:v>Transfers to States</c:v>
                </c:pt>
                <c:pt idx="4">
                  <c:v>Department of Food and Public Distribution</c:v>
                </c:pt>
                <c:pt idx="5">
                  <c:v>Ministry of Petroleum and Natural Gas</c:v>
                </c:pt>
                <c:pt idx="6">
                  <c:v>Defence Pensions</c:v>
                </c:pt>
                <c:pt idx="7">
                  <c:v>Capital Outlay on Defence Services</c:v>
                </c:pt>
                <c:pt idx="8">
                  <c:v>Ministry of Home Affairs</c:v>
                </c:pt>
                <c:pt idx="9">
                  <c:v>Ladakh</c:v>
                </c:pt>
              </c:strCache>
            </c:strRef>
          </c:cat>
          <c:val>
            <c:numRef>
              <c:f>Pivot_Analysis!$F$21:$F$30</c:f>
              <c:numCache>
                <c:formatCode>0.00</c:formatCode>
                <c:ptCount val="10"/>
                <c:pt idx="0">
                  <c:v>81631</c:v>
                </c:pt>
                <c:pt idx="1">
                  <c:v>38037.760000000009</c:v>
                </c:pt>
                <c:pt idx="2">
                  <c:v>30128.190000000002</c:v>
                </c:pt>
                <c:pt idx="3">
                  <c:v>28439.820000000007</c:v>
                </c:pt>
                <c:pt idx="4">
                  <c:v>23641.279999999999</c:v>
                </c:pt>
                <c:pt idx="5">
                  <c:v>10473.439999999999</c:v>
                </c:pt>
                <c:pt idx="6">
                  <c:v>8391.5</c:v>
                </c:pt>
                <c:pt idx="7">
                  <c:v>6454.2000000000116</c:v>
                </c:pt>
                <c:pt idx="8">
                  <c:v>2922.96</c:v>
                </c:pt>
                <c:pt idx="9">
                  <c:v>2685.2800000000007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C-43F0-AF23-E9BB6DD37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8928784"/>
        <c:axId val="221267952"/>
      </c:barChart>
      <c:catAx>
        <c:axId val="668928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67952"/>
        <c:crosses val="autoZero"/>
        <c:auto val="1"/>
        <c:lblAlgn val="ctr"/>
        <c:lblOffset val="100"/>
        <c:noMultiLvlLbl val="0"/>
      </c:catAx>
      <c:valAx>
        <c:axId val="22126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2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Budget Evolution – Actual vs Estimates (₹ Cr)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Pivot_Analysis!$B$34</c:f>
              <c:strCache>
                <c:ptCount val="1"/>
                <c:pt idx="0">
                  <c:v>Amount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Pivot_Analysis!$A$35:$A$38</c:f>
              <c:strCache>
                <c:ptCount val="4"/>
                <c:pt idx="0">
                  <c:v>Actual 2024–25</c:v>
                </c:pt>
                <c:pt idx="1">
                  <c:v>BE 2025–26</c:v>
                </c:pt>
                <c:pt idx="2">
                  <c:v>RE 2025–26</c:v>
                </c:pt>
                <c:pt idx="3">
                  <c:v>BE 2026–27</c:v>
                </c:pt>
              </c:strCache>
            </c:strRef>
          </c:cat>
          <c:val>
            <c:numRef>
              <c:f>Pivot_Analysis!$B$35:$B$38</c:f>
              <c:numCache>
                <c:formatCode>#,##0.00" Cr"</c:formatCode>
                <c:ptCount val="4"/>
                <c:pt idx="0">
                  <c:v>4652867.4000000032</c:v>
                </c:pt>
                <c:pt idx="1">
                  <c:v>5065345.0399999982</c:v>
                </c:pt>
                <c:pt idx="2">
                  <c:v>4964841.7400000021</c:v>
                </c:pt>
                <c:pt idx="3">
                  <c:v>5347314.8099999977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F-4801-B112-33B37964F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893520"/>
        <c:axId val="1878144080"/>
      </c:barChart>
      <c:catAx>
        <c:axId val="66889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144080"/>
        <c:crosses val="autoZero"/>
        <c:auto val="1"/>
        <c:lblAlgn val="ctr"/>
        <c:lblOffset val="100"/>
        <c:noMultiLvlLbl val="0"/>
      </c:catAx>
      <c:valAx>
        <c:axId val="187814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&quot; Cr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9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[GOI_Budget_Expenditure_Analysis.xlsx]Pivot_Analysis!PivotTable1</c:name>
    <c:fmtId val="4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15C8A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315C8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24-4FA0-A2E8-014AA72DDF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Pivot_Analysis!$A$4:$A$13</c:f>
              <c:strCache>
                <c:ptCount val="10"/>
                <c:pt idx="0">
                  <c:v>Defence Pensions</c:v>
                </c:pt>
                <c:pt idx="1">
                  <c:v>Police</c:v>
                </c:pt>
                <c:pt idx="2">
                  <c:v>Department of Rural Development</c:v>
                </c:pt>
                <c:pt idx="3">
                  <c:v>Capital Outlay on Defence Services</c:v>
                </c:pt>
                <c:pt idx="4">
                  <c:v>Department of Food and Public Distribution</c:v>
                </c:pt>
                <c:pt idx="5">
                  <c:v>Ministry of Railways</c:v>
                </c:pt>
                <c:pt idx="6">
                  <c:v>Ministry of Road Transport and Highways</c:v>
                </c:pt>
                <c:pt idx="7">
                  <c:v>Defence Services (Revenue)</c:v>
                </c:pt>
                <c:pt idx="8">
                  <c:v>Transfers to States</c:v>
                </c:pt>
                <c:pt idx="9">
                  <c:v>Interest Payments</c:v>
                </c:pt>
              </c:strCache>
            </c:strRef>
          </c:cat>
          <c:val>
            <c:numRef>
              <c:f>Pivot_Analysis!$B$4:$B$13</c:f>
              <c:numCache>
                <c:formatCode>#,##0.00\ \C\R</c:formatCode>
                <c:ptCount val="10"/>
                <c:pt idx="0">
                  <c:v>171338.22</c:v>
                </c:pt>
                <c:pt idx="1">
                  <c:v>173802.53</c:v>
                </c:pt>
                <c:pt idx="2">
                  <c:v>194368.81</c:v>
                </c:pt>
                <c:pt idx="3">
                  <c:v>219306.47</c:v>
                </c:pt>
                <c:pt idx="4">
                  <c:v>235047.2</c:v>
                </c:pt>
                <c:pt idx="5">
                  <c:v>281377.32</c:v>
                </c:pt>
                <c:pt idx="6">
                  <c:v>309875.3</c:v>
                </c:pt>
                <c:pt idx="7">
                  <c:v>365478.98</c:v>
                </c:pt>
                <c:pt idx="8">
                  <c:v>394183.52</c:v>
                </c:pt>
                <c:pt idx="9">
                  <c:v>1403971.79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4-4FA0-A2E8-014AA72DD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9527392"/>
        <c:axId val="221315472"/>
      </c:barChart>
      <c:catAx>
        <c:axId val="619527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315472"/>
        <c:crosses val="autoZero"/>
        <c:auto val="1"/>
        <c:lblAlgn val="ctr"/>
        <c:lblOffset val="100"/>
        <c:noMultiLvlLbl val="0"/>
      </c:catAx>
      <c:valAx>
        <c:axId val="22131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52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5B8F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Pivot_Analysis!$E$21:$E$30</c:f>
              <c:strCache>
                <c:ptCount val="10"/>
                <c:pt idx="0">
                  <c:v>Department of Economic Affairs</c:v>
                </c:pt>
                <c:pt idx="1">
                  <c:v>Defence Services (Revenue)</c:v>
                </c:pt>
                <c:pt idx="2">
                  <c:v>Department of Fertilisers</c:v>
                </c:pt>
                <c:pt idx="3">
                  <c:v>Transfers to States</c:v>
                </c:pt>
                <c:pt idx="4">
                  <c:v>Department of Food and Public Distribution</c:v>
                </c:pt>
                <c:pt idx="5">
                  <c:v>Ministry of Petroleum and Natural Gas</c:v>
                </c:pt>
                <c:pt idx="6">
                  <c:v>Defence Pensions</c:v>
                </c:pt>
                <c:pt idx="7">
                  <c:v>Capital Outlay on Defence Services</c:v>
                </c:pt>
                <c:pt idx="8">
                  <c:v>Ministry of Home Affairs</c:v>
                </c:pt>
                <c:pt idx="9">
                  <c:v>Ladakh</c:v>
                </c:pt>
              </c:strCache>
            </c:strRef>
          </c:cat>
          <c:val>
            <c:numRef>
              <c:f>Pivot_Analysis!$F$21:$F$30</c:f>
              <c:numCache>
                <c:formatCode>0.00</c:formatCode>
                <c:ptCount val="10"/>
                <c:pt idx="0">
                  <c:v>81631</c:v>
                </c:pt>
                <c:pt idx="1">
                  <c:v>38037.760000000009</c:v>
                </c:pt>
                <c:pt idx="2">
                  <c:v>30128.190000000002</c:v>
                </c:pt>
                <c:pt idx="3">
                  <c:v>28439.820000000007</c:v>
                </c:pt>
                <c:pt idx="4">
                  <c:v>23641.279999999999</c:v>
                </c:pt>
                <c:pt idx="5">
                  <c:v>10473.439999999999</c:v>
                </c:pt>
                <c:pt idx="6">
                  <c:v>8391.5</c:v>
                </c:pt>
                <c:pt idx="7">
                  <c:v>6454.2000000000116</c:v>
                </c:pt>
                <c:pt idx="8">
                  <c:v>2922.96</c:v>
                </c:pt>
                <c:pt idx="9">
                  <c:v>2685.2800000000007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9-4566-BA66-AC596B820C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8928784"/>
        <c:axId val="221267952"/>
      </c:barChart>
      <c:catAx>
        <c:axId val="6689287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267952"/>
        <c:crosses val="autoZero"/>
        <c:auto val="1"/>
        <c:lblAlgn val="ctr"/>
        <c:lblOffset val="100"/>
        <c:noMultiLvlLbl val="0"/>
      </c:catAx>
      <c:valAx>
        <c:axId val="22126795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66892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Pivot_Analysis!$B$34</c:f>
              <c:strCache>
                <c:ptCount val="1"/>
                <c:pt idx="0">
                  <c:v>Amount (₹ Cr)</c:v>
                </c:pt>
              </c:strCache>
            </c:strRef>
          </c:tx>
          <c:spPr>
            <a:solidFill>
              <a:srgbClr val="5B8FA8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6F9FB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02-45B6-9F74-99C6DBE3256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63A5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Pivot_Analysis!$A$35:$A$38</c:f>
              <c:strCache>
                <c:ptCount val="4"/>
                <c:pt idx="0">
                  <c:v>Actual 2024–25</c:v>
                </c:pt>
                <c:pt idx="1">
                  <c:v>BE 2025–26</c:v>
                </c:pt>
                <c:pt idx="2">
                  <c:v>RE 2025–26</c:v>
                </c:pt>
                <c:pt idx="3">
                  <c:v>BE 2026–27</c:v>
                </c:pt>
              </c:strCache>
            </c:strRef>
          </c:cat>
          <c:val>
            <c:numRef>
              <c:f>Pivot_Analysis!$B$35:$B$38</c:f>
              <c:numCache>
                <c:formatCode>#,##0.00" Cr"</c:formatCode>
                <c:ptCount val="4"/>
                <c:pt idx="0">
                  <c:v>4652867.4000000032</c:v>
                </c:pt>
                <c:pt idx="1">
                  <c:v>5065345.0399999982</c:v>
                </c:pt>
                <c:pt idx="2">
                  <c:v>4964841.7400000021</c:v>
                </c:pt>
                <c:pt idx="3">
                  <c:v>5347314.8099999977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2-45B6-9F74-99C6DBE32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27"/>
        <c:axId val="668893520"/>
        <c:axId val="1878144080"/>
      </c:barChart>
      <c:catAx>
        <c:axId val="66889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144080"/>
        <c:crosses val="autoZero"/>
        <c:auto val="1"/>
        <c:lblAlgn val="ctr"/>
        <c:lblOffset val="100"/>
        <c:noMultiLvlLbl val="0"/>
      </c:catAx>
      <c:valAx>
        <c:axId val="18781440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&quot; Cr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9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Calc!$F$1</c:f>
              <c:strCache>
                <c:ptCount val="1"/>
                <c:pt idx="0">
                  <c:v>RE vs BE (₹ Cr)</c:v>
                </c:pt>
              </c:strCache>
            </c:strRef>
          </c:tx>
          <c:spPr>
            <a:solidFill>
              <a:srgbClr val="D85C5C"/>
            </a:solidFill>
            <a:ln>
              <a:noFill/>
            </a:ln>
            <a:effectLst/>
          </c:spPr>
          <c:invertIfNegative val="0"/>
          <c:dLbls>
            <c:numFmt formatCode="#,##0.00;\-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Calc!$E$2:$E$11</c:f>
              <c:strCache>
                <c:ptCount val="10"/>
                <c:pt idx="0">
                  <c:v>Department of Revenue</c:v>
                </c:pt>
                <c:pt idx="1">
                  <c:v>Department of Drinking Water and Sanitation</c:v>
                </c:pt>
                <c:pt idx="2">
                  <c:v>Ministry of Housing and Urban Affairs</c:v>
                </c:pt>
                <c:pt idx="3">
                  <c:v>Department of Telecommunications</c:v>
                </c:pt>
                <c:pt idx="4">
                  <c:v>Ministry of Labour and Employment</c:v>
                </c:pt>
                <c:pt idx="5">
                  <c:v>Department of Science and Technology</c:v>
                </c:pt>
                <c:pt idx="6">
                  <c:v>Ministry of Micro, Small and Medium Enterprises</c:v>
                </c:pt>
                <c:pt idx="7">
                  <c:v>Department of School Education and Literacy</c:v>
                </c:pt>
                <c:pt idx="8">
                  <c:v>Department of Water Resources, River Development and Ganga Rejuvenation</c:v>
                </c:pt>
                <c:pt idx="9">
                  <c:v>Ministry of Electronics and Information Technology</c:v>
                </c:pt>
              </c:strCache>
            </c:strRef>
          </c:cat>
          <c:val>
            <c:numRef>
              <c:f>Calc!$F$2:$F$11</c:f>
              <c:numCache>
                <c:formatCode>General</c:formatCode>
                <c:ptCount val="10"/>
                <c:pt idx="0">
                  <c:v>-112530.62999999999</c:v>
                </c:pt>
                <c:pt idx="1">
                  <c:v>-51194.94</c:v>
                </c:pt>
                <c:pt idx="2">
                  <c:v>-39573.22</c:v>
                </c:pt>
                <c:pt idx="3">
                  <c:v>-27607.070000000007</c:v>
                </c:pt>
                <c:pt idx="4">
                  <c:v>-19958.14</c:v>
                </c:pt>
                <c:pt idx="5">
                  <c:v>-16587.32</c:v>
                </c:pt>
                <c:pt idx="6">
                  <c:v>-11072.170000000002</c:v>
                </c:pt>
                <c:pt idx="7">
                  <c:v>-8004.9600000000064</c:v>
                </c:pt>
                <c:pt idx="8">
                  <c:v>-6871.09</c:v>
                </c:pt>
                <c:pt idx="9">
                  <c:v>-5793.2999999999993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6-4F13-B222-7A639396D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8863824"/>
        <c:axId val="927628720"/>
      </c:barChart>
      <c:catAx>
        <c:axId val="6688638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shade val="50000"/>
                <a:alpha val="91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63A5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628720"/>
        <c:crosses val="autoZero"/>
        <c:auto val="1"/>
        <c:lblAlgn val="ctr"/>
        <c:lblOffset val="1000"/>
        <c:noMultiLvlLbl val="0"/>
      </c:catAx>
      <c:valAx>
        <c:axId val="9276287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\-0.0,&quot;K&quot;;0.0,&quot;K&quot;" sourceLinked="0"/>
        <c:majorTickMark val="none"/>
        <c:minorTickMark val="none"/>
        <c:tickLblPos val="high"/>
        <c:spPr>
          <a:noFill/>
          <a:ln>
            <a:solidFill>
              <a:schemeClr val="lt1">
                <a:shade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63824"/>
        <c:crosses val="autoZero"/>
        <c:crossBetween val="between"/>
        <c:minorUnit val="1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png"/><Relationship Id="rId18" Type="http://schemas.openxmlformats.org/officeDocument/2006/relationships/image" Target="../media/image15.png"/><Relationship Id="rId26" Type="http://schemas.openxmlformats.org/officeDocument/2006/relationships/image" Target="../media/image22.svg"/><Relationship Id="rId3" Type="http://schemas.openxmlformats.org/officeDocument/2006/relationships/chart" Target="../charts/chart7.xml"/><Relationship Id="rId21" Type="http://schemas.openxmlformats.org/officeDocument/2006/relationships/image" Target="../media/image18.svg"/><Relationship Id="rId7" Type="http://schemas.openxmlformats.org/officeDocument/2006/relationships/image" Target="../media/image4.png"/><Relationship Id="rId12" Type="http://schemas.openxmlformats.org/officeDocument/2006/relationships/image" Target="../media/image9.jpeg"/><Relationship Id="rId17" Type="http://schemas.openxmlformats.org/officeDocument/2006/relationships/image" Target="../media/image14.svg"/><Relationship Id="rId25" Type="http://schemas.openxmlformats.org/officeDocument/2006/relationships/image" Target="../media/image21.png"/><Relationship Id="rId2" Type="http://schemas.openxmlformats.org/officeDocument/2006/relationships/chart" Target="../charts/chart6.xml"/><Relationship Id="rId16" Type="http://schemas.openxmlformats.org/officeDocument/2006/relationships/image" Target="../media/image13.png"/><Relationship Id="rId20" Type="http://schemas.openxmlformats.org/officeDocument/2006/relationships/image" Target="../media/image17.png"/><Relationship Id="rId29" Type="http://schemas.openxmlformats.org/officeDocument/2006/relationships/image" Target="../media/image25.png"/><Relationship Id="rId1" Type="http://schemas.openxmlformats.org/officeDocument/2006/relationships/chart" Target="../charts/chart5.xml"/><Relationship Id="rId6" Type="http://schemas.openxmlformats.org/officeDocument/2006/relationships/image" Target="../media/image3.png"/><Relationship Id="rId11" Type="http://schemas.openxmlformats.org/officeDocument/2006/relationships/image" Target="../media/image8.png"/><Relationship Id="rId24" Type="http://schemas.openxmlformats.org/officeDocument/2006/relationships/image" Target="../media/image20.svg"/><Relationship Id="rId5" Type="http://schemas.openxmlformats.org/officeDocument/2006/relationships/image" Target="../media/image2.png"/><Relationship Id="rId15" Type="http://schemas.openxmlformats.org/officeDocument/2006/relationships/image" Target="../media/image12.png"/><Relationship Id="rId23" Type="http://schemas.openxmlformats.org/officeDocument/2006/relationships/image" Target="../media/image19.png"/><Relationship Id="rId28" Type="http://schemas.openxmlformats.org/officeDocument/2006/relationships/image" Target="../media/image24.png"/><Relationship Id="rId10" Type="http://schemas.openxmlformats.org/officeDocument/2006/relationships/image" Target="../media/image7.png"/><Relationship Id="rId19" Type="http://schemas.openxmlformats.org/officeDocument/2006/relationships/image" Target="../media/image16.svg"/><Relationship Id="rId31" Type="http://schemas.openxmlformats.org/officeDocument/2006/relationships/image" Target="../media/image27.png"/><Relationship Id="rId4" Type="http://schemas.openxmlformats.org/officeDocument/2006/relationships/image" Target="../media/image1.png"/><Relationship Id="rId9" Type="http://schemas.openxmlformats.org/officeDocument/2006/relationships/image" Target="../media/image6.png"/><Relationship Id="rId14" Type="http://schemas.openxmlformats.org/officeDocument/2006/relationships/image" Target="../media/image11.png"/><Relationship Id="rId22" Type="http://schemas.openxmlformats.org/officeDocument/2006/relationships/chart" Target="../charts/chart8.xml"/><Relationship Id="rId27" Type="http://schemas.openxmlformats.org/officeDocument/2006/relationships/image" Target="../media/image23.png"/><Relationship Id="rId30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923924</xdr:colOff>
      <xdr:row>88</xdr:row>
      <xdr:rowOff>165100</xdr:rowOff>
    </xdr:from>
    <xdr:to>
      <xdr:col>7</xdr:col>
      <xdr:colOff>292099</xdr:colOff>
      <xdr:row>106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90CF14-BEBA-6845-5D23-D6437A7D1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2</xdr:row>
      <xdr:rowOff>50800</xdr:rowOff>
    </xdr:from>
    <xdr:to>
      <xdr:col>9</xdr:col>
      <xdr:colOff>323850</xdr:colOff>
      <xdr:row>15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406E1B-673E-4213-8C92-5B9EA2A03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307974</xdr:colOff>
      <xdr:row>30</xdr:row>
      <xdr:rowOff>50800</xdr:rowOff>
    </xdr:from>
    <xdr:to>
      <xdr:col>7</xdr:col>
      <xdr:colOff>527049</xdr:colOff>
      <xdr:row>45</xdr:row>
      <xdr:rowOff>31750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0A2FDB9-E96F-359C-2344-3F789384E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38</xdr:row>
      <xdr:rowOff>63500</xdr:rowOff>
    </xdr:from>
    <xdr:to>
      <xdr:col>2</xdr:col>
      <xdr:colOff>517525</xdr:colOff>
      <xdr:row>53</xdr:row>
      <xdr:rowOff>44450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3D720E4-1E74-1487-A17C-3F6E8BD5E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20707</xdr:rowOff>
    </xdr:from>
    <xdr:to>
      <xdr:col>7</xdr:col>
      <xdr:colOff>786846</xdr:colOff>
      <xdr:row>23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14E04C-2130-4320-8F47-273FC12AF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13</xdr:row>
      <xdr:rowOff>176390</xdr:rowOff>
    </xdr:from>
    <xdr:to>
      <xdr:col>15</xdr:col>
      <xdr:colOff>874889</xdr:colOff>
      <xdr:row>24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F926D8-CE8D-4FD2-9FF0-288F14B6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26</xdr:row>
      <xdr:rowOff>14111</xdr:rowOff>
    </xdr:from>
    <xdr:to>
      <xdr:col>16</xdr:col>
      <xdr:colOff>14112</xdr:colOff>
      <xdr:row>35</xdr:row>
      <xdr:rowOff>91722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2B57A2-8DEB-4258-8D37-49EDDB522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91721</xdr:colOff>
      <xdr:row>0</xdr:row>
      <xdr:rowOff>21167</xdr:rowOff>
    </xdr:from>
    <xdr:to>
      <xdr:col>0</xdr:col>
      <xdr:colOff>465666</xdr:colOff>
      <xdr:row>1</xdr:row>
      <xdr:rowOff>148167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CE92F12-6F06-D359-A241-CE56D4B06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21" y="21167"/>
          <a:ext cx="373945" cy="444500"/>
        </a:xfrm>
        <a:prstGeom prst="rect">
          <a:avLst/>
        </a:prstGeom>
      </xdr:spPr>
    </xdr:pic>
    <xdr:clientData/>
  </xdr:twoCellAnchor>
  <xdr:oneCellAnchor>
    <xdr:from>
      <xdr:col>0</xdr:col>
      <xdr:colOff>599722</xdr:colOff>
      <xdr:row>0</xdr:row>
      <xdr:rowOff>0</xdr:rowOff>
    </xdr:from>
    <xdr:ext cx="2222500" cy="3810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7C4817E-C86D-7E72-FEA9-8A8CA3FAA70C}"/>
            </a:ext>
          </a:extLst>
        </xdr:cNvPr>
        <xdr:cNvSpPr txBox="1"/>
      </xdr:nvSpPr>
      <xdr:spPr>
        <a:xfrm>
          <a:off x="599722" y="0"/>
          <a:ext cx="2222500" cy="381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1600" b="1">
              <a:solidFill>
                <a:schemeClr val="bg1"/>
              </a:solidFill>
            </a:rPr>
            <a:t>Government of India</a:t>
          </a:r>
        </a:p>
      </xdr:txBody>
    </xdr:sp>
    <xdr:clientData/>
  </xdr:oneCellAnchor>
  <xdr:twoCellAnchor editAs="oneCell">
    <xdr:from>
      <xdr:col>3</xdr:col>
      <xdr:colOff>402168</xdr:colOff>
      <xdr:row>0</xdr:row>
      <xdr:rowOff>0</xdr:rowOff>
    </xdr:from>
    <xdr:to>
      <xdr:col>3</xdr:col>
      <xdr:colOff>804334</xdr:colOff>
      <xdr:row>1</xdr:row>
      <xdr:rowOff>183444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8A8FFFF-F382-8602-7A26-CADE87D21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36335" y="0"/>
          <a:ext cx="402166" cy="500944"/>
        </a:xfrm>
        <a:prstGeom prst="rect">
          <a:avLst/>
        </a:prstGeom>
      </xdr:spPr>
    </xdr:pic>
    <xdr:clientData/>
  </xdr:twoCellAnchor>
  <xdr:oneCellAnchor>
    <xdr:from>
      <xdr:col>4</xdr:col>
      <xdr:colOff>28221</xdr:colOff>
      <xdr:row>0</xdr:row>
      <xdr:rowOff>42332</xdr:rowOff>
    </xdr:from>
    <xdr:ext cx="5679723" cy="22577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3E9525C-1ED8-4A7D-E198-70365FF16D12}"/>
            </a:ext>
          </a:extLst>
        </xdr:cNvPr>
        <xdr:cNvSpPr txBox="1"/>
      </xdr:nvSpPr>
      <xdr:spPr>
        <a:xfrm>
          <a:off x="3273777" y="42332"/>
          <a:ext cx="5679723" cy="2257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>
              <a:solidFill>
                <a:schemeClr val="bg1"/>
              </a:solidFill>
            </a:rPr>
            <a:t>Expenditure Analysis Dashboard </a:t>
          </a:r>
          <a:br>
            <a:rPr lang="en-IN" sz="1400">
              <a:solidFill>
                <a:schemeClr val="bg1"/>
              </a:solidFill>
            </a:rPr>
          </a:br>
          <a:endParaRPr lang="en-IN" sz="10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28223</xdr:colOff>
      <xdr:row>0</xdr:row>
      <xdr:rowOff>218723</xdr:rowOff>
    </xdr:from>
    <xdr:ext cx="5679723" cy="225779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E829B1E-5310-43ED-9C32-CEB8131500F2}"/>
            </a:ext>
          </a:extLst>
        </xdr:cNvPr>
        <xdr:cNvSpPr txBox="1"/>
      </xdr:nvSpPr>
      <xdr:spPr>
        <a:xfrm>
          <a:off x="3273779" y="218723"/>
          <a:ext cx="5679723" cy="2257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000">
              <a:solidFill>
                <a:schemeClr val="bg1"/>
              </a:solidFill>
            </a:rPr>
            <a:t>Actuals, Budget Estimates, Revised Estimates and Budget Estimates 2026–27</a:t>
          </a:r>
          <a:br>
            <a:rPr lang="en-IN" sz="1400">
              <a:solidFill>
                <a:schemeClr val="bg1"/>
              </a:solidFill>
            </a:rPr>
          </a:br>
          <a:endParaRPr lang="en-IN" sz="10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14111</xdr:colOff>
      <xdr:row>0</xdr:row>
      <xdr:rowOff>14113</xdr:rowOff>
    </xdr:from>
    <xdr:ext cx="1185333" cy="23283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67F9564-F6D6-45E2-4322-9F6EE83D53C6}"/>
            </a:ext>
          </a:extLst>
        </xdr:cNvPr>
        <xdr:cNvSpPr txBox="1"/>
      </xdr:nvSpPr>
      <xdr:spPr>
        <a:xfrm>
          <a:off x="9750778" y="14113"/>
          <a:ext cx="1185333" cy="2328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050" b="1">
              <a:solidFill>
                <a:schemeClr val="bg1"/>
              </a:solidFill>
            </a:rPr>
            <a:t>Financial Year</a:t>
          </a:r>
        </a:p>
      </xdr:txBody>
    </xdr:sp>
    <xdr:clientData/>
  </xdr:oneCellAnchor>
  <xdr:oneCellAnchor>
    <xdr:from>
      <xdr:col>12</xdr:col>
      <xdr:colOff>28222</xdr:colOff>
      <xdr:row>0</xdr:row>
      <xdr:rowOff>268110</xdr:rowOff>
    </xdr:from>
    <xdr:ext cx="1164167" cy="204612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29C17C0-9BF4-42B3-8E9E-214AE68B1816}"/>
            </a:ext>
          </a:extLst>
        </xdr:cNvPr>
        <xdr:cNvSpPr txBox="1"/>
      </xdr:nvSpPr>
      <xdr:spPr>
        <a:xfrm>
          <a:off x="9764889" y="268110"/>
          <a:ext cx="1164167" cy="2046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000">
              <a:solidFill>
                <a:schemeClr val="bg1"/>
              </a:solidFill>
              <a:latin typeface="+mn-lt"/>
              <a:ea typeface="+mn-ea"/>
              <a:cs typeface="+mn-cs"/>
            </a:rPr>
            <a:t>2025–26</a:t>
          </a:r>
        </a:p>
      </xdr:txBody>
    </xdr:sp>
    <xdr:clientData/>
  </xdr:oneCellAnchor>
  <xdr:twoCellAnchor editAs="oneCell">
    <xdr:from>
      <xdr:col>11</xdr:col>
      <xdr:colOff>465759</xdr:colOff>
      <xdr:row>0</xdr:row>
      <xdr:rowOff>84667</xdr:rowOff>
    </xdr:from>
    <xdr:to>
      <xdr:col>11</xdr:col>
      <xdr:colOff>777357</xdr:colOff>
      <xdr:row>1</xdr:row>
      <xdr:rowOff>63500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A6A24F0-B1D4-C465-1348-8B6A1AAD7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1037" y="84667"/>
          <a:ext cx="311598" cy="296333"/>
        </a:xfrm>
        <a:prstGeom prst="rect">
          <a:avLst/>
        </a:prstGeom>
      </xdr:spPr>
    </xdr:pic>
    <xdr:clientData/>
  </xdr:twoCellAnchor>
  <xdr:twoCellAnchor editAs="oneCell">
    <xdr:from>
      <xdr:col>13</xdr:col>
      <xdr:colOff>310444</xdr:colOff>
      <xdr:row>0</xdr:row>
      <xdr:rowOff>0</xdr:rowOff>
    </xdr:from>
    <xdr:to>
      <xdr:col>13</xdr:col>
      <xdr:colOff>627944</xdr:colOff>
      <xdr:row>1</xdr:row>
      <xdr:rowOff>176389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B985A68-761B-E81E-74E0-B147A1B3C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0" y="0"/>
          <a:ext cx="317500" cy="493889"/>
        </a:xfrm>
        <a:prstGeom prst="rect">
          <a:avLst/>
        </a:prstGeom>
      </xdr:spPr>
    </xdr:pic>
    <xdr:clientData/>
  </xdr:twoCellAnchor>
  <xdr:twoCellAnchor editAs="oneCell">
    <xdr:from>
      <xdr:col>0</xdr:col>
      <xdr:colOff>70556</xdr:colOff>
      <xdr:row>3</xdr:row>
      <xdr:rowOff>98778</xdr:rowOff>
    </xdr:from>
    <xdr:to>
      <xdr:col>0</xdr:col>
      <xdr:colOff>543277</xdr:colOff>
      <xdr:row>6</xdr:row>
      <xdr:rowOff>42332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71005E1-EBF6-4C1F-0EA2-9700C6D8F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556" y="656167"/>
          <a:ext cx="472721" cy="472721"/>
        </a:xfrm>
        <a:prstGeom prst="rect">
          <a:avLst/>
        </a:prstGeom>
      </xdr:spPr>
    </xdr:pic>
    <xdr:clientData/>
  </xdr:twoCellAnchor>
  <xdr:twoCellAnchor editAs="oneCell">
    <xdr:from>
      <xdr:col>4</xdr:col>
      <xdr:colOff>139989</xdr:colOff>
      <xdr:row>3</xdr:row>
      <xdr:rowOff>77610</xdr:rowOff>
    </xdr:from>
    <xdr:to>
      <xdr:col>4</xdr:col>
      <xdr:colOff>634998</xdr:colOff>
      <xdr:row>6</xdr:row>
      <xdr:rowOff>28222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8C41CD7-880B-B8B7-A44F-8BA135EA3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5545" y="634999"/>
          <a:ext cx="495009" cy="479779"/>
        </a:xfrm>
        <a:prstGeom prst="rect">
          <a:avLst/>
        </a:prstGeom>
      </xdr:spPr>
    </xdr:pic>
    <xdr:clientData/>
  </xdr:twoCellAnchor>
  <xdr:oneCellAnchor>
    <xdr:from>
      <xdr:col>0</xdr:col>
      <xdr:colOff>642055</xdr:colOff>
      <xdr:row>8</xdr:row>
      <xdr:rowOff>77611</xdr:rowOff>
    </xdr:from>
    <xdr:ext cx="2497667" cy="282223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41D901B-CD70-0F33-6032-B364776123C1}"/>
            </a:ext>
          </a:extLst>
        </xdr:cNvPr>
        <xdr:cNvSpPr txBox="1"/>
      </xdr:nvSpPr>
      <xdr:spPr>
        <a:xfrm>
          <a:off x="642055" y="1460500"/>
          <a:ext cx="2497667" cy="2822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RE vs BE (2025–26)</a:t>
          </a:r>
          <a:endParaRPr lang="en-IN" sz="1400"/>
        </a:p>
      </xdr:txBody>
    </xdr:sp>
    <xdr:clientData/>
  </xdr:oneCellAnchor>
  <xdr:oneCellAnchor>
    <xdr:from>
      <xdr:col>0</xdr:col>
      <xdr:colOff>620890</xdr:colOff>
      <xdr:row>9</xdr:row>
      <xdr:rowOff>176390</xdr:rowOff>
    </xdr:from>
    <xdr:ext cx="1686278" cy="253999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5617600-ABA4-4493-A55C-836B6B5E8A75}"/>
            </a:ext>
          </a:extLst>
        </xdr:cNvPr>
        <xdr:cNvSpPr txBox="1"/>
      </xdr:nvSpPr>
      <xdr:spPr>
        <a:xfrm>
          <a:off x="620890" y="1742723"/>
          <a:ext cx="1686278" cy="253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>
              <a:solidFill>
                <a:srgbClr val="2E8B57"/>
              </a:solidFill>
            </a:rPr>
            <a:t>% Change</a:t>
          </a:r>
        </a:p>
      </xdr:txBody>
    </xdr:sp>
    <xdr:clientData/>
  </xdr:oneCellAnchor>
  <xdr:twoCellAnchor editAs="oneCell">
    <xdr:from>
      <xdr:col>8</xdr:col>
      <xdr:colOff>70556</xdr:colOff>
      <xdr:row>3</xdr:row>
      <xdr:rowOff>70555</xdr:rowOff>
    </xdr:from>
    <xdr:to>
      <xdr:col>8</xdr:col>
      <xdr:colOff>564446</xdr:colOff>
      <xdr:row>6</xdr:row>
      <xdr:rowOff>35278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D454F3CB-343F-621C-14B3-59E468686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1667" y="627944"/>
          <a:ext cx="493890" cy="493890"/>
        </a:xfrm>
        <a:prstGeom prst="rect">
          <a:avLst/>
        </a:prstGeom>
      </xdr:spPr>
    </xdr:pic>
    <xdr:clientData/>
  </xdr:twoCellAnchor>
  <xdr:twoCellAnchor editAs="oneCell">
    <xdr:from>
      <xdr:col>12</xdr:col>
      <xdr:colOff>98778</xdr:colOff>
      <xdr:row>3</xdr:row>
      <xdr:rowOff>77611</xdr:rowOff>
    </xdr:from>
    <xdr:to>
      <xdr:col>12</xdr:col>
      <xdr:colOff>592667</xdr:colOff>
      <xdr:row>6</xdr:row>
      <xdr:rowOff>42333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CA3F55F-7072-DC5F-E210-99B051AE5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5445" y="635000"/>
          <a:ext cx="493889" cy="493889"/>
        </a:xfrm>
        <a:prstGeom prst="rect">
          <a:avLst/>
        </a:prstGeom>
      </xdr:spPr>
    </xdr:pic>
    <xdr:clientData/>
  </xdr:twoCellAnchor>
  <xdr:oneCellAnchor>
    <xdr:from>
      <xdr:col>3</xdr:col>
      <xdr:colOff>409222</xdr:colOff>
      <xdr:row>8</xdr:row>
      <xdr:rowOff>127001</xdr:rowOff>
    </xdr:from>
    <xdr:ext cx="1079500" cy="416277"/>
    <xdr:sp macro="" textlink="Calc!A1">
      <xdr:nvSpPr>
        <xdr:cNvPr id="39" name="TextBox 38">
          <a:extLst>
            <a:ext uri="{FF2B5EF4-FFF2-40B4-BE49-F238E27FC236}">
              <a16:creationId xmlns:a16="http://schemas.microsoft.com/office/drawing/2014/main" id="{F28D67D1-3178-A36B-EFB9-82D959047770}"/>
            </a:ext>
          </a:extLst>
        </xdr:cNvPr>
        <xdr:cNvSpPr txBox="1"/>
      </xdr:nvSpPr>
      <xdr:spPr>
        <a:xfrm>
          <a:off x="2843389" y="1509890"/>
          <a:ext cx="1079500" cy="4162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B73C0A06-406F-4166-BB15-156F45BE7383}" type="TxLink">
            <a:rPr lang="en-US" sz="1800" b="1" i="0" u="none" strike="noStrike">
              <a:solidFill>
                <a:srgbClr val="2E8B57"/>
              </a:solidFill>
              <a:latin typeface="Calibri"/>
              <a:ea typeface="Calibri"/>
              <a:cs typeface="Calibri"/>
            </a:rPr>
            <a:t>-1.98%</a:t>
          </a:fld>
          <a:endParaRPr lang="en-IN" sz="1100"/>
        </a:p>
      </xdr:txBody>
    </xdr:sp>
    <xdr:clientData/>
  </xdr:oneCellAnchor>
  <xdr:twoCellAnchor editAs="oneCell">
    <xdr:from>
      <xdr:col>0</xdr:col>
      <xdr:colOff>14111</xdr:colOff>
      <xdr:row>8</xdr:row>
      <xdr:rowOff>105833</xdr:rowOff>
    </xdr:from>
    <xdr:to>
      <xdr:col>0</xdr:col>
      <xdr:colOff>613834</xdr:colOff>
      <xdr:row>11</xdr:row>
      <xdr:rowOff>97974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7A78613C-387A-3A3E-F46E-94CC8A584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1" y="1488722"/>
          <a:ext cx="599723" cy="542474"/>
        </a:xfrm>
        <a:prstGeom prst="rect">
          <a:avLst/>
        </a:prstGeom>
      </xdr:spPr>
    </xdr:pic>
    <xdr:clientData/>
  </xdr:twoCellAnchor>
  <xdr:oneCellAnchor>
    <xdr:from>
      <xdr:col>5</xdr:col>
      <xdr:colOff>275167</xdr:colOff>
      <xdr:row>8</xdr:row>
      <xdr:rowOff>14111</xdr:rowOff>
    </xdr:from>
    <xdr:ext cx="2060222" cy="670278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7EA8DCE-CA80-9888-2D97-0B70061DECCF}"/>
            </a:ext>
          </a:extLst>
        </xdr:cNvPr>
        <xdr:cNvSpPr txBox="1"/>
      </xdr:nvSpPr>
      <xdr:spPr>
        <a:xfrm>
          <a:off x="4332111" y="1397000"/>
          <a:ext cx="2060222" cy="670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IN" sz="1100">
              <a:solidFill>
                <a:srgbClr val="4C5F27"/>
              </a:solidFill>
            </a:rPr>
            <a:t>Revised Estimates are 1.98% lower than the Budget Estimates for 2025–26.</a:t>
          </a:r>
        </a:p>
      </xdr:txBody>
    </xdr:sp>
    <xdr:clientData/>
  </xdr:oneCellAnchor>
  <xdr:twoCellAnchor editAs="oneCell">
    <xdr:from>
      <xdr:col>4</xdr:col>
      <xdr:colOff>580558</xdr:colOff>
      <xdr:row>8</xdr:row>
      <xdr:rowOff>0</xdr:rowOff>
    </xdr:from>
    <xdr:to>
      <xdr:col>5</xdr:col>
      <xdr:colOff>256797</xdr:colOff>
      <xdr:row>11</xdr:row>
      <xdr:rowOff>183444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A42B70CA-7019-B634-8CE7-BACB4E3B7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6114" y="1382889"/>
          <a:ext cx="487627" cy="733777"/>
        </a:xfrm>
        <a:prstGeom prst="rect">
          <a:avLst/>
        </a:prstGeom>
      </xdr:spPr>
    </xdr:pic>
    <xdr:clientData/>
  </xdr:twoCellAnchor>
  <xdr:oneCellAnchor>
    <xdr:from>
      <xdr:col>8</xdr:col>
      <xdr:colOff>627944</xdr:colOff>
      <xdr:row>8</xdr:row>
      <xdr:rowOff>70555</xdr:rowOff>
    </xdr:from>
    <xdr:ext cx="2497667" cy="282223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23EFF8F-51A1-443E-9506-7869ADA50882}"/>
            </a:ext>
          </a:extLst>
        </xdr:cNvPr>
        <xdr:cNvSpPr txBox="1"/>
      </xdr:nvSpPr>
      <xdr:spPr>
        <a:xfrm>
          <a:off x="7119055" y="1453444"/>
          <a:ext cx="2497667" cy="2822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indent="0"/>
          <a:r>
            <a:rPr lang="en-IN" sz="1400" b="1">
              <a:solidFill>
                <a:schemeClr val="tx1"/>
              </a:solidFill>
              <a:latin typeface="+mn-lt"/>
              <a:ea typeface="+mn-ea"/>
              <a:cs typeface="+mn-cs"/>
            </a:rPr>
            <a:t>BE 2026–27 vs RE 2025–26</a:t>
          </a:r>
        </a:p>
      </xdr:txBody>
    </xdr:sp>
    <xdr:clientData/>
  </xdr:oneCellAnchor>
  <xdr:oneCellAnchor>
    <xdr:from>
      <xdr:col>8</xdr:col>
      <xdr:colOff>620889</xdr:colOff>
      <xdr:row>10</xdr:row>
      <xdr:rowOff>7055</xdr:rowOff>
    </xdr:from>
    <xdr:ext cx="1686278" cy="253999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878F4F1-CEC3-4744-928A-38802F609D75}"/>
            </a:ext>
          </a:extLst>
        </xdr:cNvPr>
        <xdr:cNvSpPr txBox="1"/>
      </xdr:nvSpPr>
      <xdr:spPr>
        <a:xfrm>
          <a:off x="7112000" y="1756833"/>
          <a:ext cx="1686278" cy="253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>
              <a:solidFill>
                <a:srgbClr val="2F75B5"/>
              </a:solidFill>
            </a:rPr>
            <a:t>% Change</a:t>
          </a:r>
        </a:p>
      </xdr:txBody>
    </xdr:sp>
    <xdr:clientData/>
  </xdr:oneCellAnchor>
  <xdr:oneCellAnchor>
    <xdr:from>
      <xdr:col>11</xdr:col>
      <xdr:colOff>599721</xdr:colOff>
      <xdr:row>8</xdr:row>
      <xdr:rowOff>91723</xdr:rowOff>
    </xdr:from>
    <xdr:ext cx="1079500" cy="416277"/>
    <xdr:sp macro="" textlink="Calc!B1">
      <xdr:nvSpPr>
        <xdr:cNvPr id="52" name="TextBox 51">
          <a:extLst>
            <a:ext uri="{FF2B5EF4-FFF2-40B4-BE49-F238E27FC236}">
              <a16:creationId xmlns:a16="http://schemas.microsoft.com/office/drawing/2014/main" id="{C6304F93-0C18-4861-8479-8D73CBCC8C78}"/>
            </a:ext>
          </a:extLst>
        </xdr:cNvPr>
        <xdr:cNvSpPr txBox="1"/>
      </xdr:nvSpPr>
      <xdr:spPr>
        <a:xfrm>
          <a:off x="9524999" y="1474612"/>
          <a:ext cx="1079500" cy="4162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00743E0D-F769-4AAC-A480-F426DFB9FD4F}" type="TxLink">
            <a:rPr lang="en-US" sz="1800" b="1" i="0" u="none" strike="noStrike">
              <a:solidFill>
                <a:srgbClr val="2F75B5"/>
              </a:solidFill>
              <a:latin typeface="Calibri"/>
              <a:ea typeface="Calibri"/>
              <a:cs typeface="Calibri"/>
            </a:rPr>
            <a:t>+7.70%</a:t>
          </a:fld>
          <a:endParaRPr lang="en-IN" sz="1100"/>
        </a:p>
      </xdr:txBody>
    </xdr:sp>
    <xdr:clientData/>
  </xdr:oneCellAnchor>
  <xdr:oneCellAnchor>
    <xdr:from>
      <xdr:col>13</xdr:col>
      <xdr:colOff>486832</xdr:colOff>
      <xdr:row>8</xdr:row>
      <xdr:rowOff>14111</xdr:rowOff>
    </xdr:from>
    <xdr:ext cx="2060222" cy="670278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B7D68B1-3B00-4F4C-9163-350B31C53B1A}"/>
            </a:ext>
          </a:extLst>
        </xdr:cNvPr>
        <xdr:cNvSpPr txBox="1"/>
      </xdr:nvSpPr>
      <xdr:spPr>
        <a:xfrm>
          <a:off x="11034888" y="1397000"/>
          <a:ext cx="2060222" cy="6702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IN">
              <a:solidFill>
                <a:srgbClr val="315C8A"/>
              </a:solidFill>
            </a:rPr>
            <a:t>Budget Estimate for 2026–27 is 7.70% higher than the Revised Estimate for 2025–26.</a:t>
          </a:r>
          <a:endParaRPr lang="en-IN" sz="1100">
            <a:solidFill>
              <a:srgbClr val="315C8A"/>
            </a:solidFill>
          </a:endParaRPr>
        </a:p>
      </xdr:txBody>
    </xdr:sp>
    <xdr:clientData/>
  </xdr:oneCellAnchor>
  <xdr:twoCellAnchor editAs="oneCell">
    <xdr:from>
      <xdr:col>8</xdr:col>
      <xdr:colOff>85300</xdr:colOff>
      <xdr:row>8</xdr:row>
      <xdr:rowOff>119946</xdr:rowOff>
    </xdr:from>
    <xdr:to>
      <xdr:col>8</xdr:col>
      <xdr:colOff>556945</xdr:colOff>
      <xdr:row>11</xdr:row>
      <xdr:rowOff>35278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DB5565F-30D9-7D4B-26C9-F81581FDD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6411" y="1502835"/>
          <a:ext cx="471645" cy="465665"/>
        </a:xfrm>
        <a:prstGeom prst="rect">
          <a:avLst/>
        </a:prstGeom>
      </xdr:spPr>
    </xdr:pic>
    <xdr:clientData/>
  </xdr:twoCellAnchor>
  <xdr:twoCellAnchor editAs="oneCell">
    <xdr:from>
      <xdr:col>12</xdr:col>
      <xdr:colOff>719667</xdr:colOff>
      <xdr:row>8</xdr:row>
      <xdr:rowOff>14111</xdr:rowOff>
    </xdr:from>
    <xdr:to>
      <xdr:col>13</xdr:col>
      <xdr:colOff>458611</xdr:colOff>
      <xdr:row>12</xdr:row>
      <xdr:rowOff>7054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58AD554-5027-7383-2D5E-6B837FCA0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6334" y="1397000"/>
          <a:ext cx="550333" cy="72672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42331</xdr:rowOff>
    </xdr:from>
    <xdr:to>
      <xdr:col>7</xdr:col>
      <xdr:colOff>776111</xdr:colOff>
      <xdr:row>13</xdr:row>
      <xdr:rowOff>176389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1671C090-B0BD-D5AB-50A9-0013336E23D8}"/>
            </a:ext>
          </a:extLst>
        </xdr:cNvPr>
        <xdr:cNvSpPr/>
      </xdr:nvSpPr>
      <xdr:spPr>
        <a:xfrm>
          <a:off x="0" y="2031998"/>
          <a:ext cx="6455833" cy="317502"/>
        </a:xfrm>
        <a:prstGeom prst="roundRect">
          <a:avLst/>
        </a:prstGeom>
        <a:solidFill>
          <a:srgbClr val="163A5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49389</xdr:colOff>
      <xdr:row>12</xdr:row>
      <xdr:rowOff>21166</xdr:rowOff>
    </xdr:from>
    <xdr:to>
      <xdr:col>0</xdr:col>
      <xdr:colOff>359834</xdr:colOff>
      <xdr:row>13</xdr:row>
      <xdr:rowOff>148167</xdr:rowOff>
    </xdr:to>
    <xdr:pic>
      <xdr:nvPicPr>
        <xdr:cNvPr id="62" name="Graphic 61" descr="Bar chart with solid fill">
          <a:extLst>
            <a:ext uri="{FF2B5EF4-FFF2-40B4-BE49-F238E27FC236}">
              <a16:creationId xmlns:a16="http://schemas.microsoft.com/office/drawing/2014/main" id="{BEB5E599-B6DB-022D-292E-F4E4413D4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9389" y="2010833"/>
          <a:ext cx="310445" cy="310445"/>
        </a:xfrm>
        <a:prstGeom prst="rect">
          <a:avLst/>
        </a:prstGeom>
      </xdr:spPr>
    </xdr:pic>
    <xdr:clientData/>
  </xdr:twoCellAnchor>
  <xdr:twoCellAnchor>
    <xdr:from>
      <xdr:col>0</xdr:col>
      <xdr:colOff>416277</xdr:colOff>
      <xdr:row>12</xdr:row>
      <xdr:rowOff>63500</xdr:rowOff>
    </xdr:from>
    <xdr:to>
      <xdr:col>5</xdr:col>
      <xdr:colOff>719667</xdr:colOff>
      <xdr:row>13</xdr:row>
      <xdr:rowOff>119945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B332812-E0F4-E1A6-9F75-2DA8DC2376BE}"/>
            </a:ext>
          </a:extLst>
        </xdr:cNvPr>
        <xdr:cNvSpPr txBox="1"/>
      </xdr:nvSpPr>
      <xdr:spPr>
        <a:xfrm>
          <a:off x="416277" y="2053167"/>
          <a:ext cx="4360334" cy="239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200" b="1">
              <a:solidFill>
                <a:schemeClr val="bg1"/>
              </a:solidFill>
            </a:rPr>
            <a:t>Top 10 Allocations – BE 2026–27 (₹ Cr)</a:t>
          </a:r>
        </a:p>
      </xdr:txBody>
    </xdr:sp>
    <xdr:clientData/>
  </xdr:twoCellAnchor>
  <xdr:twoCellAnchor>
    <xdr:from>
      <xdr:col>8</xdr:col>
      <xdr:colOff>14112</xdr:colOff>
      <xdr:row>12</xdr:row>
      <xdr:rowOff>35278</xdr:rowOff>
    </xdr:from>
    <xdr:to>
      <xdr:col>15</xdr:col>
      <xdr:colOff>889000</xdr:colOff>
      <xdr:row>13</xdr:row>
      <xdr:rowOff>176392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D9989767-5B6B-4D1A-86A9-E0810B806867}"/>
            </a:ext>
          </a:extLst>
        </xdr:cNvPr>
        <xdr:cNvSpPr/>
      </xdr:nvSpPr>
      <xdr:spPr>
        <a:xfrm>
          <a:off x="6505223" y="2024945"/>
          <a:ext cx="6554610" cy="324558"/>
        </a:xfrm>
        <a:prstGeom prst="roundRect">
          <a:avLst/>
        </a:prstGeom>
        <a:solidFill>
          <a:srgbClr val="163A5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493889</xdr:colOff>
      <xdr:row>12</xdr:row>
      <xdr:rowOff>63501</xdr:rowOff>
    </xdr:from>
    <xdr:to>
      <xdr:col>13</xdr:col>
      <xdr:colOff>797278</xdr:colOff>
      <xdr:row>13</xdr:row>
      <xdr:rowOff>119946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5458D37-44FE-4B9E-9DBB-53CC0BEE613A}"/>
            </a:ext>
          </a:extLst>
        </xdr:cNvPr>
        <xdr:cNvSpPr txBox="1"/>
      </xdr:nvSpPr>
      <xdr:spPr>
        <a:xfrm>
          <a:off x="6985000" y="2053168"/>
          <a:ext cx="4360334" cy="239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Top 10 Positive Budget Revisions – RE vs BE 2025–26 (₹ Cr)</a:t>
          </a:r>
        </a:p>
      </xdr:txBody>
    </xdr:sp>
    <xdr:clientData/>
  </xdr:twoCellAnchor>
  <xdr:twoCellAnchor editAs="oneCell">
    <xdr:from>
      <xdr:col>8</xdr:col>
      <xdr:colOff>49388</xdr:colOff>
      <xdr:row>11</xdr:row>
      <xdr:rowOff>169331</xdr:rowOff>
    </xdr:from>
    <xdr:to>
      <xdr:col>8</xdr:col>
      <xdr:colOff>465667</xdr:colOff>
      <xdr:row>14</xdr:row>
      <xdr:rowOff>35276</xdr:rowOff>
    </xdr:to>
    <xdr:pic>
      <xdr:nvPicPr>
        <xdr:cNvPr id="68" name="Graphic 67" descr="Upward trend with solid fill">
          <a:extLst>
            <a:ext uri="{FF2B5EF4-FFF2-40B4-BE49-F238E27FC236}">
              <a16:creationId xmlns:a16="http://schemas.microsoft.com/office/drawing/2014/main" id="{47CBD011-C46E-2994-5A8F-DEC4FEFC0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6540499" y="1975553"/>
          <a:ext cx="416279" cy="416279"/>
        </a:xfrm>
        <a:prstGeom prst="rect">
          <a:avLst/>
        </a:prstGeom>
      </xdr:spPr>
    </xdr:pic>
    <xdr:clientData/>
  </xdr:twoCellAnchor>
  <xdr:twoCellAnchor>
    <xdr:from>
      <xdr:col>0</xdr:col>
      <xdr:colOff>7057</xdr:colOff>
      <xdr:row>24</xdr:row>
      <xdr:rowOff>42333</xdr:rowOff>
    </xdr:from>
    <xdr:to>
      <xdr:col>16</xdr:col>
      <xdr:colOff>0</xdr:colOff>
      <xdr:row>25</xdr:row>
      <xdr:rowOff>162278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AB7C469B-A999-4FE7-AFE1-A6A8F08DD666}"/>
            </a:ext>
          </a:extLst>
        </xdr:cNvPr>
        <xdr:cNvSpPr/>
      </xdr:nvSpPr>
      <xdr:spPr>
        <a:xfrm>
          <a:off x="7057" y="4233333"/>
          <a:ext cx="13059832" cy="303389"/>
        </a:xfrm>
        <a:prstGeom prst="roundRect">
          <a:avLst/>
        </a:prstGeom>
        <a:solidFill>
          <a:srgbClr val="163A5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536224</xdr:colOff>
      <xdr:row>24</xdr:row>
      <xdr:rowOff>70556</xdr:rowOff>
    </xdr:from>
    <xdr:to>
      <xdr:col>6</xdr:col>
      <xdr:colOff>28225</xdr:colOff>
      <xdr:row>25</xdr:row>
      <xdr:rowOff>127001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CFB2A1E-7C87-4923-827E-80AED4C822B9}"/>
            </a:ext>
          </a:extLst>
        </xdr:cNvPr>
        <xdr:cNvSpPr txBox="1"/>
      </xdr:nvSpPr>
      <xdr:spPr>
        <a:xfrm>
          <a:off x="536224" y="4261556"/>
          <a:ext cx="4360334" cy="239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Budget Evolution – Actual vs Estimates (₹ Cr)</a:t>
          </a:r>
        </a:p>
      </xdr:txBody>
    </xdr:sp>
    <xdr:clientData/>
  </xdr:twoCellAnchor>
  <xdr:twoCellAnchor editAs="oneCell">
    <xdr:from>
      <xdr:col>0</xdr:col>
      <xdr:colOff>119945</xdr:colOff>
      <xdr:row>24</xdr:row>
      <xdr:rowOff>7057</xdr:rowOff>
    </xdr:from>
    <xdr:to>
      <xdr:col>0</xdr:col>
      <xdr:colOff>472722</xdr:colOff>
      <xdr:row>25</xdr:row>
      <xdr:rowOff>176390</xdr:rowOff>
    </xdr:to>
    <xdr:pic>
      <xdr:nvPicPr>
        <xdr:cNvPr id="74" name="Graphic 73" descr="Statistics with solid fill">
          <a:extLst>
            <a:ext uri="{FF2B5EF4-FFF2-40B4-BE49-F238E27FC236}">
              <a16:creationId xmlns:a16="http://schemas.microsoft.com/office/drawing/2014/main" id="{542BE63D-EAB2-4FB2-66D6-FDA32267E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119945" y="4198057"/>
          <a:ext cx="352777" cy="35277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56445</xdr:rowOff>
    </xdr:from>
    <xdr:to>
      <xdr:col>7</xdr:col>
      <xdr:colOff>776111</xdr:colOff>
      <xdr:row>47</xdr:row>
      <xdr:rowOff>141111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D18E9633-16FB-4F61-ABF4-71D6207148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35</xdr:row>
      <xdr:rowOff>134056</xdr:rowOff>
    </xdr:from>
    <xdr:to>
      <xdr:col>7</xdr:col>
      <xdr:colOff>776111</xdr:colOff>
      <xdr:row>37</xdr:row>
      <xdr:rowOff>56445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E910980C-DF7F-4283-A7F7-7A9D6F947C95}"/>
            </a:ext>
          </a:extLst>
        </xdr:cNvPr>
        <xdr:cNvSpPr/>
      </xdr:nvSpPr>
      <xdr:spPr>
        <a:xfrm>
          <a:off x="0" y="6342945"/>
          <a:ext cx="6455833" cy="289278"/>
        </a:xfrm>
        <a:prstGeom prst="roundRect">
          <a:avLst/>
        </a:prstGeom>
        <a:solidFill>
          <a:srgbClr val="163A5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458611</xdr:colOff>
      <xdr:row>35</xdr:row>
      <xdr:rowOff>148167</xdr:rowOff>
    </xdr:from>
    <xdr:to>
      <xdr:col>5</xdr:col>
      <xdr:colOff>762001</xdr:colOff>
      <xdr:row>37</xdr:row>
      <xdr:rowOff>21167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DA9547E-BAB1-46BB-B529-801B98C1D0BF}"/>
            </a:ext>
          </a:extLst>
        </xdr:cNvPr>
        <xdr:cNvSpPr txBox="1"/>
      </xdr:nvSpPr>
      <xdr:spPr>
        <a:xfrm>
          <a:off x="458611" y="6357056"/>
          <a:ext cx="4360334" cy="239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Top 10 Negative Budget Revisions – RE vs BE 2025–26 (₹ Cr)</a:t>
          </a:r>
        </a:p>
      </xdr:txBody>
    </xdr:sp>
    <xdr:clientData/>
  </xdr:twoCellAnchor>
  <xdr:twoCellAnchor editAs="oneCell">
    <xdr:from>
      <xdr:col>0</xdr:col>
      <xdr:colOff>49390</xdr:colOff>
      <xdr:row>35</xdr:row>
      <xdr:rowOff>91723</xdr:rowOff>
    </xdr:from>
    <xdr:to>
      <xdr:col>0</xdr:col>
      <xdr:colOff>381000</xdr:colOff>
      <xdr:row>37</xdr:row>
      <xdr:rowOff>56444</xdr:rowOff>
    </xdr:to>
    <xdr:pic>
      <xdr:nvPicPr>
        <xdr:cNvPr id="79" name="Graphic 78" descr="Downward trend graph with solid fill">
          <a:extLst>
            <a:ext uri="{FF2B5EF4-FFF2-40B4-BE49-F238E27FC236}">
              <a16:creationId xmlns:a16="http://schemas.microsoft.com/office/drawing/2014/main" id="{D48B1FC8-1719-9941-C377-E0A59FCE2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9390" y="6300612"/>
          <a:ext cx="331610" cy="331610"/>
        </a:xfrm>
        <a:prstGeom prst="rect">
          <a:avLst/>
        </a:prstGeom>
      </xdr:spPr>
    </xdr:pic>
    <xdr:clientData/>
  </xdr:twoCellAnchor>
  <xdr:twoCellAnchor>
    <xdr:from>
      <xdr:col>7</xdr:col>
      <xdr:colOff>793751</xdr:colOff>
      <xdr:row>35</xdr:row>
      <xdr:rowOff>134055</xdr:rowOff>
    </xdr:from>
    <xdr:to>
      <xdr:col>16</xdr:col>
      <xdr:colOff>28223</xdr:colOff>
      <xdr:row>37</xdr:row>
      <xdr:rowOff>63500</xdr:rowOff>
    </xdr:to>
    <xdr:sp macro="" textlink="">
      <xdr:nvSpPr>
        <xdr:cNvPr id="82" name="Rectangle: Rounded Corners 81">
          <a:extLst>
            <a:ext uri="{FF2B5EF4-FFF2-40B4-BE49-F238E27FC236}">
              <a16:creationId xmlns:a16="http://schemas.microsoft.com/office/drawing/2014/main" id="{342473CD-9853-4C43-80E6-EBAC61CAE491}"/>
            </a:ext>
          </a:extLst>
        </xdr:cNvPr>
        <xdr:cNvSpPr/>
      </xdr:nvSpPr>
      <xdr:spPr>
        <a:xfrm>
          <a:off x="6483351" y="6363405"/>
          <a:ext cx="6632222" cy="297745"/>
        </a:xfrm>
        <a:prstGeom prst="roundRect">
          <a:avLst/>
        </a:prstGeom>
        <a:solidFill>
          <a:srgbClr val="3F668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49389</xdr:colOff>
      <xdr:row>35</xdr:row>
      <xdr:rowOff>126999</xdr:rowOff>
    </xdr:from>
    <xdr:to>
      <xdr:col>8</xdr:col>
      <xdr:colOff>383714</xdr:colOff>
      <xdr:row>37</xdr:row>
      <xdr:rowOff>70555</xdr:rowOff>
    </xdr:to>
    <xdr:pic>
      <xdr:nvPicPr>
        <xdr:cNvPr id="84" name="Graphic 83" descr="Lightbulb with solid fill">
          <a:extLst>
            <a:ext uri="{FF2B5EF4-FFF2-40B4-BE49-F238E27FC236}">
              <a16:creationId xmlns:a16="http://schemas.microsoft.com/office/drawing/2014/main" id="{6C2C3897-81F3-DAFF-FB92-E344BDAC2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6540500" y="6335888"/>
          <a:ext cx="334325" cy="310445"/>
        </a:xfrm>
        <a:prstGeom prst="rect">
          <a:avLst/>
        </a:prstGeom>
      </xdr:spPr>
    </xdr:pic>
    <xdr:clientData/>
  </xdr:twoCellAnchor>
  <xdr:twoCellAnchor>
    <xdr:from>
      <xdr:col>8</xdr:col>
      <xdr:colOff>366889</xdr:colOff>
      <xdr:row>35</xdr:row>
      <xdr:rowOff>155222</xdr:rowOff>
    </xdr:from>
    <xdr:to>
      <xdr:col>13</xdr:col>
      <xdr:colOff>670278</xdr:colOff>
      <xdr:row>37</xdr:row>
      <xdr:rowOff>28222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605BDBC5-E4B3-436B-A2E8-B4AD9F77D176}"/>
            </a:ext>
          </a:extLst>
        </xdr:cNvPr>
        <xdr:cNvSpPr txBox="1"/>
      </xdr:nvSpPr>
      <xdr:spPr>
        <a:xfrm>
          <a:off x="6858000" y="6364111"/>
          <a:ext cx="4360334" cy="239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+mn-cs"/>
            </a:rPr>
            <a:t>Key Insights</a:t>
          </a:r>
        </a:p>
      </xdr:txBody>
    </xdr:sp>
    <xdr:clientData/>
  </xdr:twoCellAnchor>
  <xdr:twoCellAnchor>
    <xdr:from>
      <xdr:col>8</xdr:col>
      <xdr:colOff>7056</xdr:colOff>
      <xdr:row>37</xdr:row>
      <xdr:rowOff>112890</xdr:rowOff>
    </xdr:from>
    <xdr:to>
      <xdr:col>15</xdr:col>
      <xdr:colOff>860778</xdr:colOff>
      <xdr:row>39</xdr:row>
      <xdr:rowOff>56445</xdr:rowOff>
    </xdr:to>
    <xdr:sp macro="" textlink="">
      <xdr:nvSpPr>
        <xdr:cNvPr id="95" name="Rectangle: Rounded Corners 94">
          <a:extLst>
            <a:ext uri="{FF2B5EF4-FFF2-40B4-BE49-F238E27FC236}">
              <a16:creationId xmlns:a16="http://schemas.microsoft.com/office/drawing/2014/main" id="{B49029FE-513A-42B6-A442-CA00E1F78EA6}"/>
            </a:ext>
          </a:extLst>
        </xdr:cNvPr>
        <xdr:cNvSpPr/>
      </xdr:nvSpPr>
      <xdr:spPr>
        <a:xfrm>
          <a:off x="6498167" y="6688668"/>
          <a:ext cx="6533444" cy="310444"/>
        </a:xfrm>
        <a:prstGeom prst="roundRect">
          <a:avLst/>
        </a:prstGeom>
        <a:solidFill>
          <a:srgbClr val="EAF2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7056</xdr:colOff>
      <xdr:row>39</xdr:row>
      <xdr:rowOff>77613</xdr:rowOff>
    </xdr:from>
    <xdr:to>
      <xdr:col>15</xdr:col>
      <xdr:colOff>860778</xdr:colOff>
      <xdr:row>40</xdr:row>
      <xdr:rowOff>105833</xdr:rowOff>
    </xdr:to>
    <xdr:sp macro="" textlink="">
      <xdr:nvSpPr>
        <xdr:cNvPr id="96" name="Rectangle: Rounded Corners 95">
          <a:extLst>
            <a:ext uri="{FF2B5EF4-FFF2-40B4-BE49-F238E27FC236}">
              <a16:creationId xmlns:a16="http://schemas.microsoft.com/office/drawing/2014/main" id="{435559DF-105B-41F4-82A3-B0F2F33D0FA3}"/>
            </a:ext>
          </a:extLst>
        </xdr:cNvPr>
        <xdr:cNvSpPr/>
      </xdr:nvSpPr>
      <xdr:spPr>
        <a:xfrm>
          <a:off x="6498167" y="7020280"/>
          <a:ext cx="6533444" cy="211664"/>
        </a:xfrm>
        <a:prstGeom prst="roundRect">
          <a:avLst/>
        </a:prstGeom>
        <a:solidFill>
          <a:srgbClr val="EAF2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14111</xdr:colOff>
      <xdr:row>40</xdr:row>
      <xdr:rowOff>112890</xdr:rowOff>
    </xdr:from>
    <xdr:to>
      <xdr:col>15</xdr:col>
      <xdr:colOff>874889</xdr:colOff>
      <xdr:row>42</xdr:row>
      <xdr:rowOff>70557</xdr:rowOff>
    </xdr:to>
    <xdr:sp macro="" textlink="">
      <xdr:nvSpPr>
        <xdr:cNvPr id="97" name="Rectangle: Rounded Corners 96">
          <a:extLst>
            <a:ext uri="{FF2B5EF4-FFF2-40B4-BE49-F238E27FC236}">
              <a16:creationId xmlns:a16="http://schemas.microsoft.com/office/drawing/2014/main" id="{9F9693F0-B595-4E40-9D9F-D3C6B2A31F0D}"/>
            </a:ext>
          </a:extLst>
        </xdr:cNvPr>
        <xdr:cNvSpPr/>
      </xdr:nvSpPr>
      <xdr:spPr>
        <a:xfrm>
          <a:off x="6505222" y="7239001"/>
          <a:ext cx="6540500" cy="324556"/>
        </a:xfrm>
        <a:prstGeom prst="roundRect">
          <a:avLst/>
        </a:prstGeom>
        <a:solidFill>
          <a:srgbClr val="EAF2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14111</xdr:colOff>
      <xdr:row>42</xdr:row>
      <xdr:rowOff>63501</xdr:rowOff>
    </xdr:from>
    <xdr:to>
      <xdr:col>15</xdr:col>
      <xdr:colOff>867834</xdr:colOff>
      <xdr:row>45</xdr:row>
      <xdr:rowOff>7056</xdr:rowOff>
    </xdr:to>
    <xdr:sp macro="" textlink="">
      <xdr:nvSpPr>
        <xdr:cNvPr id="98" name="Rectangle: Rounded Corners 97">
          <a:extLst>
            <a:ext uri="{FF2B5EF4-FFF2-40B4-BE49-F238E27FC236}">
              <a16:creationId xmlns:a16="http://schemas.microsoft.com/office/drawing/2014/main" id="{E292F42B-21A2-415D-9B59-40E8F7943DD4}"/>
            </a:ext>
          </a:extLst>
        </xdr:cNvPr>
        <xdr:cNvSpPr/>
      </xdr:nvSpPr>
      <xdr:spPr>
        <a:xfrm>
          <a:off x="6505222" y="7556501"/>
          <a:ext cx="6533445" cy="493888"/>
        </a:xfrm>
        <a:prstGeom prst="roundRect">
          <a:avLst/>
        </a:prstGeom>
        <a:solidFill>
          <a:srgbClr val="EAF2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0</xdr:colOff>
      <xdr:row>45</xdr:row>
      <xdr:rowOff>21167</xdr:rowOff>
    </xdr:from>
    <xdr:to>
      <xdr:col>15</xdr:col>
      <xdr:colOff>867833</xdr:colOff>
      <xdr:row>47</xdr:row>
      <xdr:rowOff>105834</xdr:rowOff>
    </xdr:to>
    <xdr:sp macro="" textlink="">
      <xdr:nvSpPr>
        <xdr:cNvPr id="99" name="Rectangle: Rounded Corners 98">
          <a:extLst>
            <a:ext uri="{FF2B5EF4-FFF2-40B4-BE49-F238E27FC236}">
              <a16:creationId xmlns:a16="http://schemas.microsoft.com/office/drawing/2014/main" id="{C93A7C37-02EB-4C6F-8847-4C62808474D5}"/>
            </a:ext>
          </a:extLst>
        </xdr:cNvPr>
        <xdr:cNvSpPr/>
      </xdr:nvSpPr>
      <xdr:spPr>
        <a:xfrm>
          <a:off x="6491111" y="8064500"/>
          <a:ext cx="6547555" cy="451556"/>
        </a:xfrm>
        <a:prstGeom prst="roundRect">
          <a:avLst/>
        </a:prstGeom>
        <a:solidFill>
          <a:srgbClr val="EAF2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105832</xdr:colOff>
      <xdr:row>37</xdr:row>
      <xdr:rowOff>134055</xdr:rowOff>
    </xdr:from>
    <xdr:to>
      <xdr:col>8</xdr:col>
      <xdr:colOff>423333</xdr:colOff>
      <xdr:row>39</xdr:row>
      <xdr:rowOff>84667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4B5A3E7A-1BD3-574A-DE70-B9E507FD6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943" y="6709833"/>
          <a:ext cx="317501" cy="317501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127002</xdr:colOff>
      <xdr:row>39</xdr:row>
      <xdr:rowOff>42334</xdr:rowOff>
    </xdr:from>
    <xdr:to>
      <xdr:col>8</xdr:col>
      <xdr:colOff>402168</xdr:colOff>
      <xdr:row>40</xdr:row>
      <xdr:rowOff>134056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AFF29FCB-4BEE-4AE0-97C4-6561DD39F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8113" y="6985001"/>
          <a:ext cx="275166" cy="275166"/>
        </a:xfrm>
        <a:prstGeom prst="rect">
          <a:avLst/>
        </a:prstGeom>
      </xdr:spPr>
    </xdr:pic>
    <xdr:clientData/>
  </xdr:twoCellAnchor>
  <xdr:twoCellAnchor>
    <xdr:from>
      <xdr:col>7</xdr:col>
      <xdr:colOff>804335</xdr:colOff>
      <xdr:row>37</xdr:row>
      <xdr:rowOff>77611</xdr:rowOff>
    </xdr:from>
    <xdr:to>
      <xdr:col>15</xdr:col>
      <xdr:colOff>889000</xdr:colOff>
      <xdr:row>47</xdr:row>
      <xdr:rowOff>158750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0B3C155E-D239-51B8-DFC9-78B336043B7F}"/>
            </a:ext>
          </a:extLst>
        </xdr:cNvPr>
        <xdr:cNvSpPr/>
      </xdr:nvSpPr>
      <xdr:spPr>
        <a:xfrm>
          <a:off x="6471710" y="6618111"/>
          <a:ext cx="6561665" cy="1906764"/>
        </a:xfrm>
        <a:prstGeom prst="rect">
          <a:avLst/>
        </a:prstGeom>
        <a:noFill/>
        <a:ln w="0">
          <a:solidFill>
            <a:srgbClr val="163A5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8</xdr:col>
      <xdr:colOff>98777</xdr:colOff>
      <xdr:row>40</xdr:row>
      <xdr:rowOff>119944</xdr:rowOff>
    </xdr:from>
    <xdr:to>
      <xdr:col>8</xdr:col>
      <xdr:colOff>409223</xdr:colOff>
      <xdr:row>42</xdr:row>
      <xdr:rowOff>63501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26E5CBBF-DEC9-CE7A-C5E7-C20508C98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9888" y="7246055"/>
          <a:ext cx="310446" cy="310446"/>
        </a:xfrm>
        <a:prstGeom prst="rect">
          <a:avLst/>
        </a:prstGeom>
      </xdr:spPr>
    </xdr:pic>
    <xdr:clientData/>
  </xdr:twoCellAnchor>
  <xdr:twoCellAnchor editAs="oneCell">
    <xdr:from>
      <xdr:col>8</xdr:col>
      <xdr:colOff>105836</xdr:colOff>
      <xdr:row>42</xdr:row>
      <xdr:rowOff>176390</xdr:rowOff>
    </xdr:from>
    <xdr:to>
      <xdr:col>8</xdr:col>
      <xdr:colOff>402168</xdr:colOff>
      <xdr:row>44</xdr:row>
      <xdr:rowOff>105833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95E30625-B639-26A5-F7D4-E3EDA4E61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6947" y="7669390"/>
          <a:ext cx="296332" cy="296332"/>
        </a:xfrm>
        <a:prstGeom prst="rect">
          <a:avLst/>
        </a:prstGeom>
      </xdr:spPr>
    </xdr:pic>
    <xdr:clientData/>
  </xdr:twoCellAnchor>
  <xdr:twoCellAnchor editAs="oneCell">
    <xdr:from>
      <xdr:col>8</xdr:col>
      <xdr:colOff>91725</xdr:colOff>
      <xdr:row>45</xdr:row>
      <xdr:rowOff>70558</xdr:rowOff>
    </xdr:from>
    <xdr:to>
      <xdr:col>8</xdr:col>
      <xdr:colOff>416279</xdr:colOff>
      <xdr:row>47</xdr:row>
      <xdr:rowOff>28223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AF801630-0423-EB46-212A-6155EB925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2836" y="8113891"/>
          <a:ext cx="324554" cy="324554"/>
        </a:xfrm>
        <a:prstGeom prst="rect">
          <a:avLst/>
        </a:prstGeom>
      </xdr:spPr>
    </xdr:pic>
    <xdr:clientData/>
  </xdr:twoCellAnchor>
  <xdr:twoCellAnchor>
    <xdr:from>
      <xdr:col>8</xdr:col>
      <xdr:colOff>366889</xdr:colOff>
      <xdr:row>37</xdr:row>
      <xdr:rowOff>169334</xdr:rowOff>
    </xdr:from>
    <xdr:to>
      <xdr:col>15</xdr:col>
      <xdr:colOff>599722</xdr:colOff>
      <xdr:row>39</xdr:row>
      <xdr:rowOff>91723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A5E0493-9445-472E-B49F-E8B8109A6EA8}"/>
            </a:ext>
          </a:extLst>
        </xdr:cNvPr>
        <xdr:cNvSpPr txBox="1"/>
      </xdr:nvSpPr>
      <xdr:spPr>
        <a:xfrm>
          <a:off x="6858000" y="6745112"/>
          <a:ext cx="5912555" cy="2892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000">
              <a:solidFill>
                <a:srgbClr val="163A5F"/>
              </a:solidFill>
            </a:rPr>
            <a:t>Total expenditure is estimated to increase by </a:t>
          </a:r>
          <a:r>
            <a:rPr lang="en-IN" sz="1000" b="1">
              <a:solidFill>
                <a:srgbClr val="163A5F"/>
              </a:solidFill>
            </a:rPr>
            <a:t>7.70%</a:t>
          </a:r>
          <a:r>
            <a:rPr lang="en-IN" sz="1000">
              <a:solidFill>
                <a:srgbClr val="163A5F"/>
              </a:solidFill>
            </a:rPr>
            <a:t> from RE 2025–26 to BE 2026–27.</a:t>
          </a:r>
          <a:endParaRPr lang="en-IN" sz="1000" b="1">
            <a:solidFill>
              <a:srgbClr val="163A5F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352779</xdr:colOff>
      <xdr:row>39</xdr:row>
      <xdr:rowOff>63499</xdr:rowOff>
    </xdr:from>
    <xdr:to>
      <xdr:col>15</xdr:col>
      <xdr:colOff>705556</xdr:colOff>
      <xdr:row>40</xdr:row>
      <xdr:rowOff>98778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164F3125-A7F3-4F3B-82D0-4A7D7E7A9B3D}"/>
            </a:ext>
          </a:extLst>
        </xdr:cNvPr>
        <xdr:cNvSpPr txBox="1"/>
      </xdr:nvSpPr>
      <xdr:spPr>
        <a:xfrm>
          <a:off x="6843890" y="7006166"/>
          <a:ext cx="6032499" cy="2187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900">
              <a:solidFill>
                <a:srgbClr val="163A5F"/>
              </a:solidFill>
              <a:latin typeface="+mn-lt"/>
              <a:ea typeface="+mn-ea"/>
              <a:cs typeface="+mn-cs"/>
            </a:rPr>
            <a:t>Interest Payments are the largest BE 2026–27 allocation at ₹1,403,971.79 Cr, accounting for 26.25% of total expenditure.</a:t>
          </a:r>
        </a:p>
      </xdr:txBody>
    </xdr:sp>
    <xdr:clientData/>
  </xdr:twoCellAnchor>
  <xdr:twoCellAnchor>
    <xdr:from>
      <xdr:col>8</xdr:col>
      <xdr:colOff>345721</xdr:colOff>
      <xdr:row>40</xdr:row>
      <xdr:rowOff>119945</xdr:rowOff>
    </xdr:from>
    <xdr:to>
      <xdr:col>15</xdr:col>
      <xdr:colOff>550332</xdr:colOff>
      <xdr:row>42</xdr:row>
      <xdr:rowOff>21168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D18290D4-AA54-4C91-A546-83D5E82DB22C}"/>
            </a:ext>
          </a:extLst>
        </xdr:cNvPr>
        <xdr:cNvSpPr txBox="1"/>
      </xdr:nvSpPr>
      <xdr:spPr>
        <a:xfrm>
          <a:off x="6836832" y="7246056"/>
          <a:ext cx="5884333" cy="2681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000">
              <a:solidFill>
                <a:srgbClr val="163A5F"/>
              </a:solidFill>
              <a:latin typeface="+mn-lt"/>
              <a:ea typeface="+mn-ea"/>
              <a:cs typeface="+mn-cs"/>
            </a:rPr>
            <a:t>Department of Economic Affairs records the largest positive RE vs BE revision at +₹81,631 Cr.</a:t>
          </a:r>
        </a:p>
      </xdr:txBody>
    </xdr:sp>
    <xdr:clientData/>
  </xdr:twoCellAnchor>
  <xdr:twoCellAnchor>
    <xdr:from>
      <xdr:col>8</xdr:col>
      <xdr:colOff>352778</xdr:colOff>
      <xdr:row>42</xdr:row>
      <xdr:rowOff>56444</xdr:rowOff>
    </xdr:from>
    <xdr:to>
      <xdr:col>15</xdr:col>
      <xdr:colOff>557389</xdr:colOff>
      <xdr:row>45</xdr:row>
      <xdr:rowOff>77611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F23A99A-C0BD-47AF-81BC-91B880FA36C5}"/>
            </a:ext>
          </a:extLst>
        </xdr:cNvPr>
        <xdr:cNvSpPr txBox="1"/>
      </xdr:nvSpPr>
      <xdr:spPr>
        <a:xfrm>
          <a:off x="6843889" y="7549444"/>
          <a:ext cx="5884333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000">
              <a:solidFill>
                <a:srgbClr val="163A5F"/>
              </a:solidFill>
              <a:latin typeface="+mn-lt"/>
              <a:ea typeface="+mn-ea"/>
              <a:cs typeface="+mn-cs"/>
            </a:rPr>
            <a:t>Largest Downward Revisions: Department of Revenue, Drinking Water and Sanitation, and Housing and Urban Affairs recorded the largest downward revisions.</a:t>
          </a:r>
        </a:p>
      </xdr:txBody>
    </xdr:sp>
    <xdr:clientData/>
  </xdr:twoCellAnchor>
  <xdr:twoCellAnchor>
    <xdr:from>
      <xdr:col>8</xdr:col>
      <xdr:colOff>388055</xdr:colOff>
      <xdr:row>45</xdr:row>
      <xdr:rowOff>42333</xdr:rowOff>
    </xdr:from>
    <xdr:to>
      <xdr:col>15</xdr:col>
      <xdr:colOff>592666</xdr:colOff>
      <xdr:row>47</xdr:row>
      <xdr:rowOff>49389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E08D362-3313-43AD-816E-865CA0EB0F7D}"/>
            </a:ext>
          </a:extLst>
        </xdr:cNvPr>
        <xdr:cNvSpPr txBox="1"/>
      </xdr:nvSpPr>
      <xdr:spPr>
        <a:xfrm>
          <a:off x="6879166" y="8085666"/>
          <a:ext cx="5884333" cy="3739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r>
            <a:rPr lang="en-IN" sz="1000">
              <a:solidFill>
                <a:srgbClr val="163A5F"/>
              </a:solidFill>
              <a:latin typeface="+mn-lt"/>
              <a:ea typeface="+mn-ea"/>
              <a:cs typeface="+mn-cs"/>
            </a:rPr>
            <a:t>RE 2025–26 is 1.98% below BE 2025–26, reflecting a downward revision to the original estimate.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chu" refreshedDate="46284.477748726851" createdVersion="8" refreshedVersion="8" minRefreshableVersion="3" recordCount="102" xr:uid="{2E088155-6538-40BC-860A-C6B29B7D2151}">
  <cacheSource type="worksheet">
    <worksheetSource name="GOI_Expenditure_Clean"/>
  </cacheSource>
  <cacheFields count="18">
    <cacheField name="Demand No" numFmtId="0">
      <sharedItems/>
    </cacheField>
    <cacheField name="Ministry Department" numFmtId="0">
      <sharedItems count="102">
        <s v="Department of Agriculture and Farmers Welfare"/>
        <s v="Department of Agricultural Research and Education"/>
        <s v="Atomic Energy"/>
        <s v="Ministry of Ayush"/>
        <s v="Department of Chemicals and Petrochemicals"/>
        <s v="Department of Fertilisers"/>
        <s v="Department of Pharmaceuticals"/>
        <s v="Ministry of Civil Aviation"/>
        <s v="Ministry of Coal"/>
        <s v="Department of Commerce"/>
        <s v="Department for Promotion of Industry and Internal Trade"/>
        <s v="Department of Posts"/>
        <s v="Department of Telecommunications"/>
        <s v="Department of Consumer Affairs"/>
        <s v="Department of Food and Public Distribution"/>
        <s v="Ministry of Cooperation"/>
        <s v="Ministry of Corporate Affairs"/>
        <s v="Ministry of Culture"/>
        <s v="Ministry of Defence (Civil)"/>
        <s v="Defence Services (Revenue)"/>
        <s v="Capital Outlay on Defence Services"/>
        <s v="Defence Pensions"/>
        <s v="Ministry of Development of North Eastern Region"/>
        <s v="Ministry of Earth Sciences"/>
        <s v="Department of School Education and Literacy"/>
        <s v="Department of Higher Education"/>
        <s v="Ministry of Electronics and Information Technology"/>
        <s v="Ministry of Environment, Forests and Climate Change"/>
        <s v="Ministry of External Affairs"/>
        <s v="Department of Economic Affairs"/>
        <s v="Department of Expenditure"/>
        <s v="Department of Financial Services"/>
        <s v="Department of Public Enterprises"/>
        <s v="Department of Investment and Public Asset Management (DIPAM)"/>
        <s v="Department of Revenue"/>
        <s v="Direct Taxes"/>
        <s v="Indirect Taxes"/>
        <s v="Indian Audit and Accounts Department"/>
        <s v="Interest Payments"/>
        <s v="Repayment of Debt"/>
        <s v="Pensions"/>
        <s v="Transfers to States"/>
        <s v="Department of Fisheries"/>
        <s v="Department of Animal Husbandry and Dairying"/>
        <s v="Ministry of Food Processing Industries"/>
        <s v="Department of Health and Family Welfare"/>
        <s v="Department of Health Research"/>
        <s v="Ministry of Heavy Industries"/>
        <s v="Ministry of Home Affairs"/>
        <s v="Cabinet"/>
        <s v="Police"/>
        <s v="Andaman and Nicobar Islands"/>
        <s v="Chandigarh"/>
        <s v="Dadra and Nagar Haveli and Daman and Diu"/>
        <s v="Ladakh"/>
        <s v="Lakshadweep"/>
        <s v="Transfers to Delhi"/>
        <s v="Transfers to Jammu and Kashmir"/>
        <s v="Transfers to Puducherry"/>
        <s v="Ministry of Housing and Urban Affairs"/>
        <s v="Ministry of Information and Broadcasting"/>
        <s v="Department of Water Resources, River Development and Ganga Rejuvenation"/>
        <s v="Department of Drinking Water and Sanitation"/>
        <s v="Ministry of Labour and Employment"/>
        <s v="Law and Justice"/>
        <s v="Election Commission"/>
        <s v="Supreme Court of India"/>
        <s v="Ministry of Micro, Small and Medium Enterprises"/>
        <s v="Ministry of Mines"/>
        <s v="Ministry of Minority Affairs"/>
        <s v="Ministry of New and Renewable Energy"/>
        <s v="Ministry of Panchayati Raj"/>
        <s v="Ministry of Parliamentary Affairs"/>
        <s v="Ministry of Personnel, Public Grievances and Pensions"/>
        <s v="Central Vigilance Commission"/>
        <s v="Ministry of Petroleum and Natural Gas"/>
        <s v="Ministry of Planning"/>
        <s v="Ministry of Ports, Shipping and Waterways"/>
        <s v="Ministry of Power"/>
        <s v="Staff, Household and Allowances of the President"/>
        <s v="Lok Sabha"/>
        <s v="Rajya Sabha"/>
        <s v="Secretariat of the Vice-President"/>
        <s v="Union Public Service Commission"/>
        <s v="Ministry of Railways"/>
        <s v="Ministry of Road Transport and Highways"/>
        <s v="Department of Rural Development"/>
        <s v="Department of Land Resources"/>
        <s v="Department of Science and Technology"/>
        <s v="Department of Biotechnology"/>
        <s v="Department of Scientific and Industrial Research"/>
        <s v="Ministry of Skill Development and Entrepreneurship"/>
        <s v="Department of Social Justice and Empowerment"/>
        <s v="Department of Empowerment of Persons with Disabilities"/>
        <s v="Department of Space"/>
        <s v="Ministry of Statistics and Programme Implementation"/>
        <s v="Ministry of Steel"/>
        <s v="Ministry of Textiles"/>
        <s v="Ministry of Tourism"/>
        <s v="Ministry of Tribal Affairs"/>
        <s v="Ministry of Women and Child Development"/>
        <s v="Ministry of Youth Affairs and Sports"/>
      </sharedItems>
    </cacheField>
    <cacheField name="Actual_2024_25_Revenue" numFmtId="0">
      <sharedItems containsSemiMixedTypes="0" containsString="0" containsNumber="1" minValue="0" maxValue="1115574.6000000001"/>
    </cacheField>
    <cacheField name="Actual_2024_25_Capital" numFmtId="0">
      <sharedItems containsSemiMixedTypes="0" containsString="0" containsNumber="1" minValue="-30.05" maxValue="285344.40000000002"/>
    </cacheField>
    <cacheField name="Actual_2024_25_Total" numFmtId="0">
      <sharedItems containsSemiMixedTypes="0" containsString="0" containsNumber="1" minValue="0" maxValue="1115574.6000000001"/>
    </cacheField>
    <cacheField name="BE_2025_26_Revenue" numFmtId="0">
      <sharedItems containsSemiMixedTypes="0" containsString="0" containsNumber="1" minValue="0" maxValue="1276337.98"/>
    </cacheField>
    <cacheField name="BE_2025_26_Capital" numFmtId="0">
      <sharedItems containsSemiMixedTypes="0" containsString="0" containsNumber="1" minValue="0" maxValue="272241.15000000002"/>
    </cacheField>
    <cacheField name="BE_2025_26_Total" numFmtId="0">
      <sharedItems containsSemiMixedTypes="0" containsString="0" containsNumber="1" minValue="0" maxValue="1276337.98"/>
    </cacheField>
    <cacheField name="RE_2025_26_Revenue" numFmtId="0">
      <sharedItems containsSemiMixedTypes="0" containsString="0" containsNumber="1" minValue="0" maxValue="1274338"/>
    </cacheField>
    <cacheField name="RE_2025_26_Capital" numFmtId="0">
      <sharedItems containsSemiMixedTypes="0" containsString="0" containsNumber="1" minValue="0" maxValue="272051.46000000002"/>
    </cacheField>
    <cacheField name="RE_2025_26_Total" numFmtId="0">
      <sharedItems containsSemiMixedTypes="0" containsString="0" containsNumber="1" minValue="0" maxValue="1274338"/>
    </cacheField>
    <cacheField name="BE_2026_27_Revenue" numFmtId="0">
      <sharedItems containsSemiMixedTypes="0" containsString="0" containsNumber="1" minValue="0" maxValue="1403971.79"/>
    </cacheField>
    <cacheField name="BE_2026_27_Capital" numFmtId="0">
      <sharedItems containsSemiMixedTypes="0" containsString="0" containsNumber="1" minValue="0" maxValue="294167.45"/>
    </cacheField>
    <cacheField name="BE_2026_27_Total" numFmtId="0">
      <sharedItems containsSemiMixedTypes="0" containsString="0" containsNumber="1" minValue="0" maxValue="1403971.79"/>
    </cacheField>
    <cacheField name="RE_vs_BE_2025_26_Variance" numFmtId="0">
      <sharedItems containsSemiMixedTypes="0" containsString="0" containsNumber="1" minValue="-112530.62999999999" maxValue="81631"/>
    </cacheField>
    <cacheField name="RE_vs_BE_2025_26_Variance_Pct" numFmtId="10">
      <sharedItems containsString="0" containsBlank="1" containsNumber="1" minValue="-0.84708624438403002" maxValue="1.6654673462838201"/>
    </cacheField>
    <cacheField name="BE_2026_27_vs_RE_2025_26_Variance" numFmtId="0">
      <sharedItems containsSemiMixedTypes="0" containsString="0" containsNumber="1" minValue="-110085.75999999999" maxValue="129633.79000000004"/>
    </cacheField>
    <cacheField name="BE_2026_27_vs_RE_2025_26_Variance_Pct" numFmtId="10">
      <sharedItems containsString="0" containsBlank="1" containsNumber="1" minValue="-0.87628958344922403" maxValue="6.40451360599641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1"/>
    <x v="0"/>
    <n v="129858.28"/>
    <n v="75.19"/>
    <n v="129933.47"/>
    <n v="127202.29"/>
    <n v="87.87"/>
    <n v="127290.16"/>
    <n v="123003.13"/>
    <n v="86.17"/>
    <n v="123089.3"/>
    <n v="130451.62"/>
    <n v="109.76"/>
    <n v="130561.38"/>
    <n v="-4200.8600000000006"/>
    <n v="-3.3002236779339403E-2"/>
    <n v="7472.0800000000017"/>
    <n v="6.0704545399153299E-2"/>
  </r>
  <r>
    <s v="2"/>
    <x v="1"/>
    <n v="9807.3799999999992"/>
    <n v="3.15"/>
    <n v="9810.5300000000007"/>
    <n v="10462.06"/>
    <n v="4.33"/>
    <n v="10466.39"/>
    <n v="10278.34"/>
    <n v="2.4900000000000002"/>
    <n v="10280.83"/>
    <n v="9964.9500000000007"/>
    <n v="2.4500000000000002"/>
    <n v="9967.4"/>
    <n v="-185.55999999999949"/>
    <n v="-1.77291310566489E-2"/>
    <n v="-313.43000000000029"/>
    <n v="-3.0486838124937399E-2"/>
  </r>
  <r>
    <s v="3"/>
    <x v="2"/>
    <n v="12692.24"/>
    <n v="12400.34"/>
    <n v="25092.58"/>
    <n v="12071.46"/>
    <n v="11977.64"/>
    <n v="24049.1"/>
    <n v="12349.65"/>
    <n v="12061.82"/>
    <n v="24411.47"/>
    <n v="14157.51"/>
    <n v="9966.41"/>
    <n v="24123.919999999998"/>
    <n v="362.37000000000262"/>
    <n v="1.50679235397584E-2"/>
    <n v="-287.55000000000291"/>
    <n v="-1.1779298829607701E-2"/>
  </r>
  <r>
    <s v="4"/>
    <x v="3"/>
    <n v="3299.71"/>
    <n v="12.34"/>
    <n v="3312.05"/>
    <n v="3937.45"/>
    <n v="55.45"/>
    <n v="3992.9"/>
    <n v="3618.47"/>
    <n v="53.35"/>
    <n v="3671.82"/>
    <n v="4381.8599999999997"/>
    <n v="27.07"/>
    <n v="4408.93"/>
    <n v="-321.07999999999993"/>
    <n v="-8.0412732600365605E-2"/>
    <n v="737.11000000000013"/>
    <n v="0.20074785801046899"/>
  </r>
  <r>
    <s v="5"/>
    <x v="4"/>
    <n v="104.65"/>
    <n v="121.36"/>
    <n v="226.01"/>
    <n v="192.07"/>
    <n v="1.98"/>
    <n v="194.05"/>
    <n v="184.37"/>
    <n v="1.2"/>
    <n v="185.57"/>
    <n v="184.7"/>
    <n v="1.02"/>
    <n v="185.72"/>
    <n v="-8.4800000000000182"/>
    <n v="-4.3700077299665102E-2"/>
    <n v="0.15000000000000568"/>
    <n v="8.0832031039502995E-4"/>
  </r>
  <r>
    <s v="6"/>
    <x v="5"/>
    <n v="181785.32"/>
    <n v="8.06"/>
    <n v="181793.38"/>
    <n v="156487.26"/>
    <n v="15.18"/>
    <n v="156502.44"/>
    <n v="186612.35"/>
    <n v="18.28"/>
    <n v="186630.63"/>
    <n v="170935.64"/>
    <n v="8.89"/>
    <n v="170944.53"/>
    <n v="30128.190000000002"/>
    <n v="0.192509394741705"/>
    <n v="-15686.100000000006"/>
    <n v="-8.4048904512619399E-2"/>
  </r>
  <r>
    <s v="7"/>
    <x v="6"/>
    <n v="2933.35"/>
    <n v="39.99"/>
    <n v="2973.34"/>
    <n v="5267.16"/>
    <n v="1.56"/>
    <n v="5268.72"/>
    <n v="4368.2"/>
    <n v="1.5"/>
    <n v="4369.7"/>
    <n v="5929.42"/>
    <n v="1.8"/>
    <n v="5931.22"/>
    <n v="-899.02000000000044"/>
    <n v="-0.17063347454410199"/>
    <n v="1561.5200000000004"/>
    <n v="0.35735176327894402"/>
  </r>
  <r>
    <s v="8"/>
    <x v="7"/>
    <n v="2503.5100000000002"/>
    <n v="97.12"/>
    <n v="2600.63"/>
    <n v="2330.31"/>
    <n v="70"/>
    <n v="2400.31"/>
    <n v="2014.48"/>
    <n v="41.01"/>
    <n v="2055.4899999999998"/>
    <n v="2057.87"/>
    <n v="45"/>
    <n v="2102.87"/>
    <n v="-344.82000000000016"/>
    <n v="-0.143656444375935"/>
    <n v="47.380000000000109"/>
    <n v="2.3050464852662898E-2"/>
  </r>
  <r>
    <s v="9"/>
    <x v="8"/>
    <n v="133.51"/>
    <n v="2.16"/>
    <n v="135.66999999999999"/>
    <n v="499"/>
    <n v="2.2000000000000002"/>
    <n v="501.2"/>
    <n v="488.76"/>
    <n v="2.2000000000000002"/>
    <n v="490.96"/>
    <n v="3633.12"/>
    <n v="2.2000000000000002"/>
    <n v="3635.32"/>
    <n v="-10.240000000000009"/>
    <n v="-2.0430965682362402E-2"/>
    <n v="3144.36"/>
    <n v="6.4045136059964198"/>
  </r>
  <r>
    <s v="10"/>
    <x v="9"/>
    <n v="5367.76"/>
    <n v="44.69"/>
    <n v="5412.45"/>
    <n v="5246.99"/>
    <n v="54"/>
    <n v="5300.99"/>
    <n v="6556.54"/>
    <n v="49.48"/>
    <n v="6606.02"/>
    <n v="5825.76"/>
    <n v="47.31"/>
    <n v="5873.07"/>
    <n v="1305.0300000000007"/>
    <n v="0.24618608976813799"/>
    <n v="-732.95000000000073"/>
    <n v="-0.110951828786471"/>
  </r>
  <r>
    <s v="11"/>
    <x v="10"/>
    <n v="6489.22"/>
    <n v="1397.47"/>
    <n v="7886.69"/>
    <n v="7452.93"/>
    <n v="5692.13"/>
    <n v="13145.06"/>
    <n v="4114.8"/>
    <n v="4501.3500000000004"/>
    <n v="8616.15"/>
    <n v="6851.7"/>
    <n v="5119.13"/>
    <n v="11970.83"/>
    <n v="-4528.91"/>
    <n v="-0.34453323149532999"/>
    <n v="3354.6800000000003"/>
    <n v="0.38934791060972701"/>
  </r>
  <r>
    <s v="12"/>
    <x v="11"/>
    <n v="24915.200000000001"/>
    <n v="1190.49"/>
    <n v="26105.69"/>
    <n v="26141.51"/>
    <n v="958.35"/>
    <n v="27099.86"/>
    <n v="25323.87"/>
    <n v="1046.1099999999999"/>
    <n v="26369.98"/>
    <n v="27026.57"/>
    <n v="1249.51"/>
    <n v="28276.080000000002"/>
    <n v="-729.88000000000102"/>
    <n v="-2.6932980465581801E-2"/>
    <n v="1906.1000000000022"/>
    <n v="7.2282952053812799E-2"/>
  </r>
  <r>
    <s v="13"/>
    <x v="12"/>
    <n v="47880.58"/>
    <n v="73846.06"/>
    <n v="121726.64"/>
    <n v="29220.49"/>
    <n v="51784.75"/>
    <n v="81005.240000000005"/>
    <n v="29482.37"/>
    <n v="23915.8"/>
    <n v="53398.17"/>
    <n v="26716.02"/>
    <n v="47274.92"/>
    <n v="73990.94"/>
    <n v="-27607.070000000007"/>
    <n v="-0.34080597748985098"/>
    <n v="20592.770000000004"/>
    <n v="0.38564561294890798"/>
  </r>
  <r>
    <s v="14"/>
    <x v="13"/>
    <n v="7239.86"/>
    <n v="62.38"/>
    <n v="7302.24"/>
    <n v="4276.3"/>
    <n v="84.42"/>
    <n v="4360.72"/>
    <n v="3283.27"/>
    <n v="78.55"/>
    <n v="3361.82"/>
    <n v="4380.75"/>
    <n v="93.42"/>
    <n v="4474.17"/>
    <n v="-998.90000000000009"/>
    <n v="-0.22906767689739299"/>
    <n v="1112.3499999999999"/>
    <n v="0.33087732240274598"/>
  </r>
  <r>
    <s v="15"/>
    <x v="14"/>
    <n v="207602.24"/>
    <n v="104.26"/>
    <n v="207706.5"/>
    <n v="211386.14"/>
    <n v="20.23"/>
    <n v="211406.37"/>
    <n v="235024.93"/>
    <n v="22.72"/>
    <n v="235047.65"/>
    <n v="235024.58"/>
    <n v="22.62"/>
    <n v="235047.2"/>
    <n v="23641.279999999999"/>
    <n v="0.111828607624264"/>
    <n v="-0.4499999999825377"/>
    <n v="-1.9145054204223601E-6"/>
  </r>
  <r>
    <s v="16"/>
    <x v="15"/>
    <n v="733.85"/>
    <n v="2.25"/>
    <n v="736.1"/>
    <n v="1184.68"/>
    <n v="1.61"/>
    <n v="1186.29"/>
    <n v="979.18"/>
    <n v="2.13"/>
    <n v="981.31"/>
    <n v="1742.84"/>
    <n v="1.9"/>
    <n v="1744.74"/>
    <n v="-204.98000000000002"/>
    <n v="-0.17279080157465701"/>
    <n v="763.43000000000006"/>
    <n v="0.77797026423862004"/>
  </r>
  <r>
    <s v="17"/>
    <x v="16"/>
    <n v="638.01"/>
    <n v="41.9"/>
    <n v="679.91"/>
    <n v="11444.86"/>
    <n v="116.33"/>
    <n v="11561.19"/>
    <n v="8833.06"/>
    <n v="86.37"/>
    <n v="8919.43"/>
    <n v="5506.24"/>
    <n v="55.62"/>
    <n v="5561.86"/>
    <n v="-2641.76"/>
    <n v="-0.2285024292482"/>
    <n v="-3357.5700000000006"/>
    <n v="-0.37643324741603401"/>
  </r>
  <r>
    <s v="18"/>
    <x v="17"/>
    <n v="3062.47"/>
    <n v="182.32"/>
    <n v="3244.79"/>
    <n v="3168.51"/>
    <n v="192.45"/>
    <n v="3360.96"/>
    <n v="3357.64"/>
    <n v="192.45"/>
    <n v="3550.09"/>
    <n v="3216.63"/>
    <n v="200"/>
    <n v="3416.63"/>
    <n v="189.13000000000011"/>
    <n v="5.6272612586880003E-2"/>
    <n v="-133.46000000000004"/>
    <n v="-3.7593413124737698E-2"/>
  </r>
  <r>
    <s v="19"/>
    <x v="18"/>
    <n v="16767.97"/>
    <n v="10848.48"/>
    <n v="27616.45"/>
    <n v="16295.35"/>
    <n v="12387.62"/>
    <n v="28682.97"/>
    <n v="16137.85"/>
    <n v="10963.15"/>
    <n v="27101"/>
    <n v="16851.36"/>
    <n v="11703.25"/>
    <n v="28554.61"/>
    <n v="-1581.9700000000012"/>
    <n v="-5.5153632974548998E-2"/>
    <n v="1453.6100000000006"/>
    <n v="5.3636766170990002E-2"/>
  </r>
  <r>
    <s v="20"/>
    <x v="19"/>
    <n v="290964.51"/>
    <n v="0"/>
    <n v="290964.51"/>
    <n v="311732.3"/>
    <n v="0"/>
    <n v="311732.3"/>
    <n v="349770.06"/>
    <n v="0"/>
    <n v="349770.06"/>
    <n v="365478.98"/>
    <n v="0"/>
    <n v="365478.98"/>
    <n v="38037.760000000009"/>
    <n v="0.12202059266877401"/>
    <n v="15708.919999999984"/>
    <n v="4.4912134560630999E-2"/>
  </r>
  <r>
    <s v="21"/>
    <x v="20"/>
    <n v="0"/>
    <n v="159768.4"/>
    <n v="159768.4"/>
    <n v="0"/>
    <n v="180000"/>
    <n v="180000"/>
    <n v="0"/>
    <n v="186454.2"/>
    <n v="186454.2"/>
    <n v="0"/>
    <n v="219306.47"/>
    <n v="219306.47"/>
    <n v="6454.2000000000116"/>
    <n v="3.5856666666666703E-2"/>
    <n v="32852.26999999999"/>
    <n v="0.17619485106798299"/>
  </r>
  <r>
    <s v="22"/>
    <x v="21"/>
    <n v="157653.65"/>
    <n v="0"/>
    <n v="157653.65"/>
    <n v="160795"/>
    <n v="0"/>
    <n v="160795"/>
    <n v="169186.5"/>
    <n v="0"/>
    <n v="169186.5"/>
    <n v="171338.22"/>
    <n v="0"/>
    <n v="171338.22"/>
    <n v="8391.5"/>
    <n v="5.2187568021393703E-2"/>
    <n v="2151.7200000000012"/>
    <n v="1.2718036013511701E-2"/>
  </r>
  <r>
    <s v="23"/>
    <x v="22"/>
    <n v="1047.4100000000001"/>
    <n v="2323.21"/>
    <n v="3370.62"/>
    <n v="1882.76"/>
    <n v="4032.24"/>
    <n v="5915"/>
    <n v="1411.79"/>
    <n v="3067.41"/>
    <n v="4479.2"/>
    <n v="2247.6999999999998"/>
    <n v="4564.6000000000004"/>
    <n v="6812.3"/>
    <n v="-1435.8000000000002"/>
    <n v="-0.242738799661877"/>
    <n v="2333.1000000000004"/>
    <n v="0.52087426326129704"/>
  </r>
  <r>
    <s v="24"/>
    <x v="23"/>
    <n v="2371.84"/>
    <n v="999.33"/>
    <n v="3371.17"/>
    <n v="2770.78"/>
    <n v="879.03"/>
    <n v="3649.81"/>
    <n v="2901.65"/>
    <n v="478.35"/>
    <n v="3380"/>
    <n v="3073.19"/>
    <n v="716.04"/>
    <n v="3789.23"/>
    <n v="-269.80999999999995"/>
    <n v="-7.3924396064452599E-2"/>
    <n v="409.23"/>
    <n v="0.121073964497041"/>
  </r>
  <r>
    <s v="25"/>
    <x v="24"/>
    <n v="65159"/>
    <n v="0.25"/>
    <n v="65159.25"/>
    <n v="78571.3"/>
    <n v="0.8"/>
    <n v="78572.100000000006"/>
    <n v="70566.34"/>
    <n v="0.8"/>
    <n v="70567.14"/>
    <n v="83561.41"/>
    <n v="0.85"/>
    <n v="83562.259999999995"/>
    <n v="-8004.9600000000064"/>
    <n v="-0.101880438476253"/>
    <n v="12995.119999999995"/>
    <n v="0.184152567328079"/>
  </r>
  <r>
    <s v="26"/>
    <x v="25"/>
    <n v="45571.68"/>
    <n v="4.84"/>
    <n v="45576.52"/>
    <n v="50067.68"/>
    <n v="10.27"/>
    <n v="50077.95"/>
    <n v="51371.4"/>
    <n v="10.27"/>
    <n v="51381.67"/>
    <n v="55724.54"/>
    <n v="2.68"/>
    <n v="55727.22"/>
    <n v="1303.7200000000012"/>
    <n v="2.6033813285088601E-2"/>
    <n v="4345.5500000000029"/>
    <n v="8.4573934634666503E-2"/>
  </r>
  <r>
    <s v="27"/>
    <x v="26"/>
    <n v="13335.47"/>
    <n v="325.83999999999997"/>
    <n v="13661.31"/>
    <n v="25583.11"/>
    <n v="443.14"/>
    <n v="26026.25"/>
    <n v="19846.32"/>
    <n v="386.63"/>
    <n v="20232.95"/>
    <n v="21234.15"/>
    <n v="398.81"/>
    <n v="21632.959999999999"/>
    <n v="-5793.2999999999993"/>
    <n v="-0.222594495941597"/>
    <n v="1400.0099999999984"/>
    <n v="6.9194556404281002E-2"/>
  </r>
  <r>
    <s v="28"/>
    <x v="27"/>
    <n v="2130.61"/>
    <n v="89.09"/>
    <n v="2219.6999999999998"/>
    <n v="3276.82"/>
    <n v="136"/>
    <n v="3412.82"/>
    <n v="3307.22"/>
    <n v="174.39"/>
    <n v="3481.61"/>
    <n v="3536.66"/>
    <n v="222.8"/>
    <n v="3759.46"/>
    <n v="68.789999999999964"/>
    <n v="2.0156351638820701E-2"/>
    <n v="277.84999999999991"/>
    <n v="7.9805032729110895E-2"/>
  </r>
  <r>
    <s v="29"/>
    <x v="28"/>
    <n v="23908.89"/>
    <n v="1603.48"/>
    <n v="25512.37"/>
    <n v="19519.73"/>
    <n v="996.88"/>
    <n v="20516.61"/>
    <n v="20745.86"/>
    <n v="996.88"/>
    <n v="21742.74"/>
    <n v="20706.2"/>
    <n v="1412.77"/>
    <n v="22118.97"/>
    <n v="1226.130000000001"/>
    <n v="5.9762797070276298E-2"/>
    <n v="376.22999999999956"/>
    <n v="1.73037068925075E-2"/>
  </r>
  <r>
    <s v="30"/>
    <x v="29"/>
    <n v="43274.82"/>
    <n v="10051.36"/>
    <n v="53326.18"/>
    <n v="2400.2399999999998"/>
    <n v="46613.63"/>
    <n v="49013.87"/>
    <n v="59845.19"/>
    <n v="70799.679999999993"/>
    <n v="130644.87"/>
    <n v="4249.6499999999996"/>
    <n v="16309.46"/>
    <n v="20559.11"/>
    <n v="81631"/>
    <n v="1.6654673462838201"/>
    <n v="-110085.75999999999"/>
    <n v="-0.84263362197076697"/>
  </r>
  <r>
    <s v="31"/>
    <x v="30"/>
    <n v="439.37"/>
    <n v="47.48"/>
    <n v="486.85"/>
    <n v="540.52"/>
    <n v="63.31"/>
    <n v="603.83000000000004"/>
    <n v="449.16"/>
    <n v="61.71"/>
    <n v="510.87"/>
    <n v="451.4"/>
    <n v="74.13"/>
    <n v="525.53"/>
    <n v="-92.960000000000036"/>
    <n v="-0.15395061523938899"/>
    <n v="14.659999999999968"/>
    <n v="2.8696145790514199E-2"/>
  </r>
  <r>
    <s v="32"/>
    <x v="31"/>
    <n v="3161.78"/>
    <n v="523.37"/>
    <n v="3685.15"/>
    <n v="1620.01"/>
    <n v="68.13"/>
    <n v="1688.14"/>
    <n v="3641.84"/>
    <n v="54.79"/>
    <n v="3696.63"/>
    <n v="3686.99"/>
    <n v="59.96"/>
    <n v="3746.95"/>
    <n v="2008.49"/>
    <n v="1.1897650668783399"/>
    <n v="50.319999999999709"/>
    <n v="1.36123983195504E-2"/>
  </r>
  <r>
    <s v="33"/>
    <x v="32"/>
    <n v="21.17"/>
    <n v="0.64"/>
    <n v="21.81"/>
    <n v="28.6"/>
    <n v="0.56999999999999995"/>
    <n v="29.17"/>
    <n v="26.69"/>
    <n v="0.56999999999999995"/>
    <n v="27.26"/>
    <n v="28.94"/>
    <n v="0.66"/>
    <n v="29.6"/>
    <n v="-1.9100000000000001"/>
    <n v="-6.5478231059307501E-2"/>
    <n v="2.34"/>
    <n v="8.5840058694057197E-2"/>
  </r>
  <r>
    <s v="34"/>
    <x v="33"/>
    <n v="37.96"/>
    <n v="0.79"/>
    <n v="38.75"/>
    <n v="55.43"/>
    <n v="1.7"/>
    <n v="57.13"/>
    <n v="33.11"/>
    <n v="0.6"/>
    <n v="33.71"/>
    <n v="54.25"/>
    <n v="1.67"/>
    <n v="55.92"/>
    <n v="-23.42"/>
    <n v="-0.40994223700332599"/>
    <n v="22.21"/>
    <n v="0.65885493918718496"/>
  </r>
  <r>
    <s v="35"/>
    <x v="34"/>
    <n v="152087.54"/>
    <n v="449.68"/>
    <n v="152537.22"/>
    <n v="132235.12"/>
    <n v="609.24"/>
    <n v="132844.35999999999"/>
    <n v="19740.849999999999"/>
    <n v="572.88"/>
    <n v="20313.73"/>
    <n v="1915.31"/>
    <n v="597.71"/>
    <n v="2513.02"/>
    <n v="-112530.62999999999"/>
    <n v="-0.84708624438403002"/>
    <n v="-17800.71"/>
    <n v="-0.87628958344922403"/>
  </r>
  <r>
    <s v="36"/>
    <x v="35"/>
    <n v="9135.5499999999993"/>
    <n v="2297.25"/>
    <n v="11432.8"/>
    <n v="9473.2900000000009"/>
    <n v="1425.16"/>
    <n v="10898.45"/>
    <n v="10665.52"/>
    <n v="2064.56"/>
    <n v="12730.08"/>
    <n v="10320.120000000001"/>
    <n v="4984.45"/>
    <n v="15304.57"/>
    <n v="1831.6299999999992"/>
    <n v="0.16806334845780799"/>
    <n v="2574.4899999999998"/>
    <n v="0.20223674949411199"/>
  </r>
  <r>
    <s v="37"/>
    <x v="36"/>
    <n v="37029.9"/>
    <n v="1771.72"/>
    <n v="38801.620000000003"/>
    <n v="40904.230000000003"/>
    <n v="1984.6"/>
    <n v="42888.83"/>
    <n v="38905.94"/>
    <n v="2590.2800000000002"/>
    <n v="41496.22"/>
    <n v="26076.63"/>
    <n v="1606"/>
    <n v="27682.63"/>
    <n v="-1392.6100000000006"/>
    <n v="-3.2470225930621099E-2"/>
    <n v="-13813.59"/>
    <n v="-0.332887911236252"/>
  </r>
  <r>
    <s v="38"/>
    <x v="37"/>
    <n v="6045.06"/>
    <n v="152.35"/>
    <n v="6197.41"/>
    <n v="6238.41"/>
    <n v="172.61"/>
    <n v="6411.02"/>
    <n v="6146"/>
    <n v="539.09"/>
    <n v="6685.09"/>
    <n v="6270.19"/>
    <n v="166.65"/>
    <n v="6436.84"/>
    <n v="274.06999999999971"/>
    <n v="4.2749827640531403E-2"/>
    <n v="-248.25"/>
    <n v="-3.7134877765295601E-2"/>
  </r>
  <r>
    <s v="39"/>
    <x v="38"/>
    <n v="1115574.6000000001"/>
    <n v="0"/>
    <n v="1115574.6000000001"/>
    <n v="1276337.98"/>
    <n v="0"/>
    <n v="1276337.98"/>
    <n v="1274338"/>
    <n v="0"/>
    <n v="1274338"/>
    <n v="1403971.79"/>
    <n v="0"/>
    <n v="1403971.79"/>
    <n v="-1999.9799999999814"/>
    <n v="-1.5669673952662499E-3"/>
    <n v="129633.79000000004"/>
    <n v="0.101726378715851"/>
  </r>
  <r>
    <s v="40"/>
    <x v="39"/>
    <n v="0"/>
    <n v="0"/>
    <n v="0"/>
    <n v="0"/>
    <n v="0"/>
    <n v="0"/>
    <n v="0"/>
    <n v="0"/>
    <n v="0"/>
    <n v="0"/>
    <n v="0"/>
    <n v="0"/>
    <n v="0"/>
    <m/>
    <n v="0"/>
    <m/>
  </r>
  <r>
    <s v="41"/>
    <x v="40"/>
    <n v="92279.49"/>
    <n v="0"/>
    <n v="92279.49"/>
    <n v="90186"/>
    <n v="0"/>
    <n v="90186"/>
    <n v="91906"/>
    <n v="0"/>
    <n v="91906"/>
    <n v="97500"/>
    <n v="0"/>
    <n v="97500"/>
    <n v="1720"/>
    <n v="1.9071696272148699E-2"/>
    <n v="5594"/>
    <n v="6.08665375492351E-2"/>
  </r>
  <r>
    <s v="42"/>
    <x v="41"/>
    <n v="133254.06"/>
    <n v="165701.16"/>
    <n v="298955.21999999997"/>
    <n v="157447.01"/>
    <n v="170595.47"/>
    <n v="328042.48"/>
    <n v="181529.01"/>
    <n v="174953.29"/>
    <n v="356482.3"/>
    <n v="167801.61"/>
    <n v="226381.91"/>
    <n v="394183.52"/>
    <n v="28439.820000000007"/>
    <n v="8.6695540162969195E-2"/>
    <n v="37701.22000000003"/>
    <n v="0.1057590236598"/>
  </r>
  <r>
    <s v="43"/>
    <x v="42"/>
    <n v="1019.71"/>
    <n v="5.28"/>
    <n v="1024.99"/>
    <n v="2681.05"/>
    <n v="22.62"/>
    <n v="2703.67"/>
    <n v="1723.13"/>
    <n v="9.82"/>
    <n v="1732.95"/>
    <n v="2732.27"/>
    <n v="29.53"/>
    <n v="2761.8"/>
    <n v="-970.72"/>
    <n v="-0.35903790033547001"/>
    <n v="1028.8500000000001"/>
    <n v="0.59369860642257399"/>
  </r>
  <r>
    <s v="44"/>
    <x v="43"/>
    <n v="2763.31"/>
    <n v="198.01"/>
    <n v="2961.32"/>
    <n v="4254.45"/>
    <n v="585.95000000000005"/>
    <n v="4840.3999999999996"/>
    <n v="4650.4399999999996"/>
    <n v="652.39"/>
    <n v="5302.83"/>
    <n v="5705.95"/>
    <n v="447.51"/>
    <n v="6153.46"/>
    <n v="462.43000000000029"/>
    <n v="9.5535492934468294E-2"/>
    <n v="850.63000000000011"/>
    <n v="0.16041057322222299"/>
  </r>
  <r>
    <s v="45"/>
    <x v="44"/>
    <n v="2302.09"/>
    <n v="1.98"/>
    <n v="2304.0700000000002"/>
    <n v="4361.58"/>
    <n v="2.64"/>
    <n v="4364.22"/>
    <n v="3569.23"/>
    <n v="2.34"/>
    <n v="3571.57"/>
    <n v="4061.43"/>
    <n v="2.73"/>
    <n v="4064.16"/>
    <n v="-792.65000000000009"/>
    <n v="-0.18162466603425101"/>
    <n v="492.58999999999969"/>
    <n v="0.13791973837836"/>
  </r>
  <r>
    <s v="46"/>
    <x v="45"/>
    <n v="84974.51"/>
    <n v="2325.66"/>
    <n v="87300.17"/>
    <n v="92333.43"/>
    <n v="3624.44"/>
    <n v="95957.87"/>
    <n v="90488.04"/>
    <n v="2437.8200000000002"/>
    <n v="92925.86"/>
    <n v="98780.91"/>
    <n v="2928.3"/>
    <n v="101709.21"/>
    <n v="-3032.0099999999948"/>
    <n v="-3.1597304108563401E-2"/>
    <n v="8783.3500000000058"/>
    <n v="9.4519975386830005E-2"/>
  </r>
  <r>
    <s v="47"/>
    <x v="46"/>
    <n v="3382.98"/>
    <n v="0.95"/>
    <n v="3383.93"/>
    <n v="3899.43"/>
    <n v="1.26"/>
    <n v="3900.69"/>
    <n v="3926.17"/>
    <n v="1.47"/>
    <n v="3927.64"/>
    <n v="4819.3999999999996"/>
    <n v="1.81"/>
    <n v="4821.21"/>
    <n v="26.949999999999818"/>
    <n v="6.9090340426949601E-3"/>
    <n v="893.57000000000016"/>
    <n v="0.22750812192563499"/>
  </r>
  <r>
    <s v="48"/>
    <x v="47"/>
    <n v="2646.42"/>
    <n v="1.55"/>
    <n v="2647.97"/>
    <n v="7178.23"/>
    <n v="502"/>
    <n v="7680.23"/>
    <n v="4791.2700000000004"/>
    <n v="502.58"/>
    <n v="5293.85"/>
    <n v="7937.08"/>
    <n v="2.82"/>
    <n v="7939.9"/>
    <n v="-2386.3799999999992"/>
    <n v="-0.31071725716547499"/>
    <n v="2646.0499999999993"/>
    <n v="0.49983471386609002"/>
  </r>
  <r>
    <s v="49"/>
    <x v="48"/>
    <n v="5402.82"/>
    <n v="269.63"/>
    <n v="5672.45"/>
    <n v="4161.22"/>
    <n v="395.97"/>
    <n v="4557.1899999999996"/>
    <n v="7199.71"/>
    <n v="280.44"/>
    <n v="7480.15"/>
    <n v="9878.5400000000009"/>
    <n v="508.81"/>
    <n v="10387.35"/>
    <n v="2922.96"/>
    <n v="0.64139524575451101"/>
    <n v="2907.2000000000007"/>
    <n v="0.38865530771441797"/>
  </r>
  <r>
    <s v="50"/>
    <x v="49"/>
    <n v="643.78"/>
    <n v="317.17"/>
    <n v="960.95"/>
    <n v="765.72"/>
    <n v="258.58"/>
    <n v="1024.3"/>
    <n v="803.02"/>
    <n v="175.18"/>
    <n v="978.2"/>
    <n v="992.32"/>
    <n v="109.68"/>
    <n v="1102"/>
    <n v="-46.099999999999909"/>
    <n v="-4.5006345797129699E-2"/>
    <n v="123.79999999999995"/>
    <n v="0.12655898589245501"/>
  </r>
  <r>
    <s v="51"/>
    <x v="50"/>
    <n v="135073.72"/>
    <n v="11561.1"/>
    <n v="146634.82"/>
    <n v="143811.87"/>
    <n v="16579.189999999999"/>
    <n v="160391.06"/>
    <n v="146262.78"/>
    <n v="16020.61"/>
    <n v="162283.39000000001"/>
    <n v="152530.06"/>
    <n v="21272.47"/>
    <n v="173802.53"/>
    <n v="1892.3300000000163"/>
    <n v="1.1798226160485601E-2"/>
    <n v="11519.139999999985"/>
    <n v="7.0981632809124701E-2"/>
  </r>
  <r>
    <s v="52"/>
    <x v="51"/>
    <n v="5539.36"/>
    <n v="401.96"/>
    <n v="5941.32"/>
    <n v="5656.98"/>
    <n v="555.08000000000004"/>
    <n v="6212.06"/>
    <n v="6918.88"/>
    <n v="469.01"/>
    <n v="7387.89"/>
    <n v="6083.08"/>
    <n v="597.86"/>
    <n v="6680.94"/>
    <n v="1175.83"/>
    <n v="0.18928181633789801"/>
    <n v="-706.95000000000073"/>
    <n v="-9.5690379797208805E-2"/>
  </r>
  <r>
    <s v="53"/>
    <x v="52"/>
    <n v="5409.74"/>
    <n v="449.19"/>
    <n v="5858.93"/>
    <n v="5547.17"/>
    <n v="640.30999999999995"/>
    <n v="6187.48"/>
    <n v="5296.33"/>
    <n v="260.08999999999997"/>
    <n v="5556.42"/>
    <n v="5275.15"/>
    <n v="445.02"/>
    <n v="5720.17"/>
    <n v="-631.05999999999949"/>
    <n v="-0.101989824613574"/>
    <n v="163.75"/>
    <n v="2.9470414403518799E-2"/>
  </r>
  <r>
    <s v="54"/>
    <x v="53"/>
    <n v="1632.93"/>
    <n v="1003.33"/>
    <n v="2636.26"/>
    <n v="1710"/>
    <n v="1070"/>
    <n v="2780"/>
    <n v="1670.64"/>
    <n v="1070"/>
    <n v="2740.64"/>
    <n v="1732.7"/>
    <n v="1100"/>
    <n v="2832.7"/>
    <n v="-39.360000000000127"/>
    <n v="-1.4158273381295E-2"/>
    <n v="92.059999999999945"/>
    <n v="3.35906941444334E-2"/>
  </r>
  <r>
    <s v="55"/>
    <x v="54"/>
    <n v="2374.92"/>
    <n v="2482.13"/>
    <n v="4857.05"/>
    <n v="2450"/>
    <n v="2242.15"/>
    <n v="4692.1499999999996"/>
    <n v="5029.7"/>
    <n v="2347.73"/>
    <n v="7377.43"/>
    <n v="2542.2600000000002"/>
    <n v="2327.0500000000002"/>
    <n v="4869.3100000000004"/>
    <n v="2685.2800000000007"/>
    <n v="0.572292019649841"/>
    <n v="-2508.12"/>
    <n v="-0.33997204988729102"/>
  </r>
  <r>
    <s v="56"/>
    <x v="55"/>
    <n v="1397.4"/>
    <n v="215.6"/>
    <n v="1613"/>
    <n v="1296.04"/>
    <n v="290.12"/>
    <n v="1586.16"/>
    <n v="1314.39"/>
    <n v="266.70999999999998"/>
    <n v="1581.1"/>
    <n v="1336.49"/>
    <n v="345.86"/>
    <n v="1682.35"/>
    <n v="-5.0600000000001728"/>
    <n v="-3.1900943158320598E-3"/>
    <n v="101.25"/>
    <n v="6.4037695275441203E-2"/>
  </r>
  <r>
    <s v="57"/>
    <x v="56"/>
    <n v="966"/>
    <n v="142"/>
    <n v="1108"/>
    <n v="968.01"/>
    <n v="380"/>
    <n v="1348.01"/>
    <n v="967.01"/>
    <n v="274.99"/>
    <n v="1242"/>
    <n v="968.01"/>
    <n v="380"/>
    <n v="1348.01"/>
    <n v="-106.00999999999999"/>
    <n v="-7.86418498379092E-2"/>
    <n v="106.00999999999999"/>
    <n v="8.5354267310789003E-2"/>
  </r>
  <r>
    <s v="58"/>
    <x v="57"/>
    <n v="46000.06"/>
    <n v="0"/>
    <n v="46000.06"/>
    <n v="41000.07"/>
    <n v="0"/>
    <n v="41000.07"/>
    <n v="41340.22"/>
    <n v="0"/>
    <n v="41340.22"/>
    <n v="43290.29"/>
    <n v="0"/>
    <n v="43290.29"/>
    <n v="340.15000000000146"/>
    <n v="8.2963272989534306E-3"/>
    <n v="1950.0699999999997"/>
    <n v="4.7171253563720802E-2"/>
  </r>
  <r>
    <s v="59"/>
    <x v="58"/>
    <n v="3302.36"/>
    <n v="0"/>
    <n v="3302.36"/>
    <n v="3432.19"/>
    <n v="0.01"/>
    <n v="3432.2"/>
    <n v="3517.87"/>
    <n v="0.01"/>
    <n v="3517.88"/>
    <n v="3517.87"/>
    <n v="0.01"/>
    <n v="3517.88"/>
    <n v="85.680000000000291"/>
    <n v="2.4963580210943501E-2"/>
    <n v="0"/>
    <n v="0"/>
  </r>
  <r>
    <s v="60"/>
    <x v="59"/>
    <n v="21632.38"/>
    <n v="31622.77"/>
    <n v="53255.15"/>
    <n v="59153.62"/>
    <n v="37623.379999999997"/>
    <n v="96777"/>
    <n v="24225.93"/>
    <n v="32977.85"/>
    <n v="57203.78"/>
    <n v="50714.32"/>
    <n v="34808.07"/>
    <n v="85522.39"/>
    <n v="-39573.22"/>
    <n v="-0.40891141490230098"/>
    <n v="28318.61"/>
    <n v="0.49504787970305503"/>
  </r>
  <r>
    <s v="61"/>
    <x v="60"/>
    <n v="4256.72"/>
    <n v="45.1"/>
    <n v="4301.82"/>
    <n v="4314.59"/>
    <n v="43.79"/>
    <n v="4358.38"/>
    <n v="6038.34"/>
    <n v="64.680000000000007"/>
    <n v="6103.02"/>
    <n v="4494.5600000000004"/>
    <n v="57.38"/>
    <n v="4551.9399999999996"/>
    <n v="1744.6400000000003"/>
    <n v="0.40029552264832402"/>
    <n v="-1551.0800000000008"/>
    <n v="-0.25414958495957801"/>
  </r>
  <r>
    <s v="62"/>
    <x v="61"/>
    <n v="20566.52"/>
    <n v="300.13"/>
    <n v="20866.650000000001"/>
    <n v="24720.49"/>
    <n v="556.34"/>
    <n v="25276.83"/>
    <n v="17948.66"/>
    <n v="457.08"/>
    <n v="18405.740000000002"/>
    <n v="19437.32"/>
    <n v="475.66"/>
    <n v="19912.98"/>
    <n v="-6871.09"/>
    <n v="-0.27183353292323398"/>
    <n v="1507.239999999998"/>
    <n v="8.1889671374255998E-2"/>
  </r>
  <r>
    <s v="63"/>
    <x v="62"/>
    <n v="25851.75"/>
    <n v="1.5"/>
    <n v="25853.25"/>
    <n v="74224.820000000007"/>
    <n v="1.2"/>
    <n v="74226.02"/>
    <n v="23029.88"/>
    <n v="1.2"/>
    <n v="23031.08"/>
    <n v="74893.66"/>
    <n v="1.2"/>
    <n v="74894.86"/>
    <n v="-51194.94"/>
    <n v="-0.68971689442597095"/>
    <n v="51863.78"/>
    <n v="2.2519039489246699"/>
  </r>
  <r>
    <s v="64"/>
    <x v="63"/>
    <n v="11375.63"/>
    <n v="32.39"/>
    <n v="11408.02"/>
    <n v="32606.92"/>
    <n v="39.270000000000003"/>
    <n v="32646.19"/>
    <n v="12659.41"/>
    <n v="28.64"/>
    <n v="12688.05"/>
    <n v="32625.33"/>
    <n v="40.98"/>
    <n v="32666.31"/>
    <n v="-19958.14"/>
    <n v="-0.61134668394688596"/>
    <n v="19978.260000000002"/>
    <n v="1.57457292491754"/>
  </r>
  <r>
    <s v="65"/>
    <x v="64"/>
    <n v="7087.29"/>
    <n v="102.29"/>
    <n v="7189.58"/>
    <n v="4807.22"/>
    <n v="191.02"/>
    <n v="4998.24"/>
    <n v="4371.62"/>
    <n v="818.25"/>
    <n v="5189.87"/>
    <n v="4259.59"/>
    <n v="249.47"/>
    <n v="4509.0600000000004"/>
    <n v="191.63000000000011"/>
    <n v="3.8339495502416901E-2"/>
    <n v="-680.80999999999949"/>
    <n v="-0.131180549801825"/>
  </r>
  <r>
    <s v="66"/>
    <x v="65"/>
    <n v="319.06"/>
    <n v="-30.05"/>
    <n v="289.01"/>
    <n v="302.98"/>
    <n v="2"/>
    <n v="304.98"/>
    <n v="358.79"/>
    <n v="14.5"/>
    <n v="373.29"/>
    <n v="367.69"/>
    <n v="14.53"/>
    <n v="382.22"/>
    <n v="68.31"/>
    <n v="0.223981900452489"/>
    <n v="8.9300000000000068"/>
    <n v="2.3922419566556798E-2"/>
  </r>
  <r>
    <s v="67"/>
    <x v="66"/>
    <n v="507.96"/>
    <n v="90.59"/>
    <n v="598.54999999999995"/>
    <n v="490.58"/>
    <n v="56.57"/>
    <n v="547.15"/>
    <n v="565.63"/>
    <n v="67.5"/>
    <n v="633.13"/>
    <n v="566.19000000000005"/>
    <n v="55.92"/>
    <n v="622.11"/>
    <n v="85.980000000000018"/>
    <n v="0.15714155167687099"/>
    <n v="-11.019999999999982"/>
    <n v="-1.7405588109866799E-2"/>
  </r>
  <r>
    <s v="68"/>
    <x v="67"/>
    <n v="7643.05"/>
    <n v="587.91999999999996"/>
    <n v="8230.9699999999993"/>
    <n v="22452.42"/>
    <n v="715.73"/>
    <n v="23168.15"/>
    <n v="11180.32"/>
    <n v="915.66"/>
    <n v="12095.98"/>
    <n v="22647.26"/>
    <n v="1919.01"/>
    <n v="24566.27"/>
    <n v="-11072.170000000002"/>
    <n v="-0.477904796023852"/>
    <n v="12470.29"/>
    <n v="1.0309449916418501"/>
  </r>
  <r>
    <s v="69"/>
    <x v="68"/>
    <n v="3050.41"/>
    <n v="46"/>
    <n v="3096.41"/>
    <n v="2958.91"/>
    <n v="79.09"/>
    <n v="3038"/>
    <n v="2991.2"/>
    <n v="173.94"/>
    <n v="3165.14"/>
    <n v="3642.8"/>
    <n v="163.65"/>
    <n v="3806.45"/>
    <n v="127.13999999999987"/>
    <n v="4.1849901250822899E-2"/>
    <n v="641.30999999999995"/>
    <n v="0.202616629912105"/>
  </r>
  <r>
    <s v="70"/>
    <x v="69"/>
    <n v="712.03"/>
    <n v="2.95"/>
    <n v="714.98"/>
    <n v="3346.28"/>
    <n v="3.72"/>
    <n v="3350"/>
    <n v="2157.98"/>
    <n v="2.4700000000000002"/>
    <n v="2160.4499999999998"/>
    <n v="3395.62"/>
    <n v="4.38"/>
    <n v="3400"/>
    <n v="-1189.5500000000002"/>
    <n v="-0.35508955223880601"/>
    <n v="1239.5500000000002"/>
    <n v="0.57374621028026596"/>
  </r>
  <r>
    <s v="71"/>
    <x v="70"/>
    <n v="18620.259999999998"/>
    <n v="6.39"/>
    <n v="18626.650000000001"/>
    <n v="26542.18"/>
    <n v="7.2"/>
    <n v="26549.38"/>
    <n v="25299.02"/>
    <n v="2.2000000000000002"/>
    <n v="25301.22"/>
    <n v="32911.14"/>
    <n v="3.53"/>
    <n v="32914.67"/>
    <n v="-1248.1599999999999"/>
    <n v="-4.7012773932950599E-2"/>
    <n v="7613.4499999999971"/>
    <n v="0.300912367071627"/>
  </r>
  <r>
    <s v="72"/>
    <x v="71"/>
    <n v="838.57"/>
    <n v="11.66"/>
    <n v="850.23"/>
    <n v="1170.9000000000001"/>
    <n v="14.1"/>
    <n v="1185"/>
    <n v="951.15"/>
    <n v="14.81"/>
    <n v="965.96"/>
    <n v="1186.8800000000001"/>
    <n v="3.28"/>
    <n v="1190.1600000000001"/>
    <n v="-219.03999999999996"/>
    <n v="-0.18484388185653999"/>
    <n v="224.20000000000005"/>
    <n v="0.232100708103855"/>
  </r>
  <r>
    <s v="73"/>
    <x v="72"/>
    <n v="56.68"/>
    <n v="6.34"/>
    <n v="63.02"/>
    <n v="59.9"/>
    <n v="6.66"/>
    <n v="66.56"/>
    <n v="58.6"/>
    <n v="7.71"/>
    <n v="66.31"/>
    <n v="61.18"/>
    <n v="7.27"/>
    <n v="68.45"/>
    <n v="-0.25"/>
    <n v="-3.7560096153846198E-3"/>
    <n v="2.1400000000000006"/>
    <n v="3.22726587241743E-2"/>
  </r>
  <r>
    <s v="74"/>
    <x v="73"/>
    <n v="2249.33"/>
    <n v="251.99"/>
    <n v="2501.3200000000002"/>
    <n v="2408.69"/>
    <n v="247.77"/>
    <n v="2656.46"/>
    <n v="2373.84"/>
    <n v="151.22999999999999"/>
    <n v="2525.0700000000002"/>
    <n v="2454.37"/>
    <n v="153.08000000000001"/>
    <n v="2607.4499999999998"/>
    <n v="-131.38999999999987"/>
    <n v="-4.9460560294527299E-2"/>
    <n v="82.379999999999654"/>
    <n v="3.2624838123299402E-2"/>
  </r>
  <r>
    <s v="75"/>
    <x v="74"/>
    <n v="46.84"/>
    <n v="1.6"/>
    <n v="48.44"/>
    <n v="50.45"/>
    <n v="1.62"/>
    <n v="52.07"/>
    <n v="49.04"/>
    <n v="1.62"/>
    <n v="50.66"/>
    <n v="52.85"/>
    <n v="1.71"/>
    <n v="54.56"/>
    <n v="-1.4100000000000037"/>
    <n v="-2.7078932206645E-2"/>
    <n v="3.9000000000000057"/>
    <n v="7.6983813659692202E-2"/>
  </r>
  <r>
    <s v="76"/>
    <x v="75"/>
    <n v="16621.78"/>
    <n v="340.55"/>
    <n v="16962.330000000002"/>
    <n v="12700.77"/>
    <n v="6626.13"/>
    <n v="19326.900000000001"/>
    <n v="28393.21"/>
    <n v="1407.13"/>
    <n v="29800.34"/>
    <n v="30204.77"/>
    <n v="238.45"/>
    <n v="30443.22"/>
    <n v="10473.439999999999"/>
    <n v="0.54190998039002602"/>
    <n v="642.88000000000102"/>
    <n v="2.1572908228563899E-2"/>
  </r>
  <r>
    <s v="77"/>
    <x v="76"/>
    <n v="273.27999999999997"/>
    <n v="7.15"/>
    <n v="280.43"/>
    <n v="972.35"/>
    <n v="33.71"/>
    <n v="1006.06"/>
    <n v="826.67"/>
    <n v="21.57"/>
    <n v="848.24"/>
    <n v="1203.3800000000001"/>
    <n v="28.78"/>
    <n v="1232.1600000000001"/>
    <n v="-157.81999999999994"/>
    <n v="-0.156869371608055"/>
    <n v="383.92000000000007"/>
    <n v="0.452607752522871"/>
  </r>
  <r>
    <s v="78"/>
    <x v="77"/>
    <n v="1498.17"/>
    <n v="1339.41"/>
    <n v="2837.58"/>
    <n v="1709.23"/>
    <n v="1761.35"/>
    <n v="3470.58"/>
    <n v="1700.13"/>
    <n v="1198.98"/>
    <n v="2899.11"/>
    <n v="3964.88"/>
    <n v="1199.92"/>
    <n v="5164.8"/>
    <n v="-571.4699999999998"/>
    <n v="-0.164661238179209"/>
    <n v="2265.69"/>
    <n v="0.78151225720997097"/>
  </r>
  <r>
    <s v="79"/>
    <x v="78"/>
    <n v="18591.32"/>
    <n v="1122.46"/>
    <n v="19713.78"/>
    <n v="21188.59"/>
    <n v="658.41"/>
    <n v="21847"/>
    <n v="21004.15"/>
    <n v="583.51"/>
    <n v="21587.66"/>
    <n v="29635.83"/>
    <n v="361.02"/>
    <n v="29996.85"/>
    <n v="-259.34000000000015"/>
    <n v="-1.18707374010162E-2"/>
    <n v="8409.1899999999987"/>
    <n v="0.38953689283600001"/>
  </r>
  <r>
    <s v="80"/>
    <x v="79"/>
    <n v="111.19"/>
    <n v="12.99"/>
    <n v="124.18"/>
    <n v="125.63"/>
    <n v="16.2"/>
    <n v="141.83000000000001"/>
    <n v="125.63"/>
    <n v="16.2"/>
    <n v="141.83000000000001"/>
    <n v="133.1"/>
    <n v="4.0999999999999996"/>
    <n v="137.19999999999999"/>
    <n v="0"/>
    <n v="0"/>
    <n v="-4.6300000000000239"/>
    <n v="-3.2644715504477402E-2"/>
  </r>
  <r>
    <s v="81"/>
    <x v="80"/>
    <n v="669.72"/>
    <n v="25.82"/>
    <n v="695.54"/>
    <n v="878.1"/>
    <n v="24.9"/>
    <n v="903"/>
    <n v="893.05"/>
    <n v="29.95"/>
    <n v="923"/>
    <n v="978.17"/>
    <n v="30.83"/>
    <n v="1009"/>
    <n v="20"/>
    <n v="2.2148394241417499E-2"/>
    <n v="86"/>
    <n v="9.3174431202600203E-2"/>
  </r>
  <r>
    <s v="82"/>
    <x v="81"/>
    <n v="399.68"/>
    <n v="12.36"/>
    <n v="412.04"/>
    <n v="400.89"/>
    <n v="13"/>
    <n v="413.89"/>
    <n v="467.05"/>
    <n v="14.28"/>
    <n v="481.33"/>
    <n v="471.32"/>
    <n v="11.67"/>
    <n v="482.99"/>
    <n v="67.44"/>
    <n v="0.16294184445142401"/>
    <n v="1.660000000000025"/>
    <n v="3.44877734610356E-3"/>
  </r>
  <r>
    <s v="83"/>
    <x v="82"/>
    <n v="10.68"/>
    <n v="0.28999999999999998"/>
    <n v="10.97"/>
    <n v="12.11"/>
    <n v="0.31"/>
    <n v="12.42"/>
    <n v="11.98"/>
    <n v="0.16"/>
    <n v="12.14"/>
    <n v="11.39"/>
    <n v="0.31"/>
    <n v="11.7"/>
    <n v="-0.27999999999999936"/>
    <n v="-2.25442834138486E-2"/>
    <n v="-0.44000000000000128"/>
    <n v="-3.6243822075782597E-2"/>
  </r>
  <r>
    <s v="84"/>
    <x v="83"/>
    <n v="405.51"/>
    <n v="21.5"/>
    <n v="427.01"/>
    <n v="414.12"/>
    <n v="21.64"/>
    <n v="435.76"/>
    <n v="411.25"/>
    <n v="21.64"/>
    <n v="432.89"/>
    <n v="421.09"/>
    <n v="21.85"/>
    <n v="442.94"/>
    <n v="-2.8700000000000045"/>
    <n v="-6.5861942353589199E-3"/>
    <n v="10.050000000000011"/>
    <n v="2.3216059507034099E-2"/>
  </r>
  <r>
    <s v="85"/>
    <x v="84"/>
    <n v="3316.45"/>
    <n v="251946.56"/>
    <n v="255263.01"/>
    <n v="3445.18"/>
    <n v="252000"/>
    <n v="255445.18"/>
    <n v="3466.32"/>
    <n v="252000"/>
    <n v="255466.32"/>
    <n v="3547.32"/>
    <n v="277830"/>
    <n v="281377.32"/>
    <n v="21.14000000001397"/>
    <n v="8.2757482446973397E-5"/>
    <n v="25911"/>
    <n v="0.101426285860304"/>
  </r>
  <r>
    <s v="86"/>
    <x v="85"/>
    <n v="14115.95"/>
    <n v="285344.40000000002"/>
    <n v="299460.34999999998"/>
    <n v="15092.01"/>
    <n v="272241.15000000002"/>
    <n v="287333.15999999997"/>
    <n v="15090.41"/>
    <n v="272051.46000000002"/>
    <n v="287141.87"/>
    <n v="15707.85"/>
    <n v="294167.45"/>
    <n v="309875.3"/>
    <n v="-191.28999999997905"/>
    <n v="-6.6574286100490104E-4"/>
    <n v="22733.429999999993"/>
    <n v="7.9171421430110495E-2"/>
  </r>
  <r>
    <s v="87"/>
    <x v="86"/>
    <n v="176650.78"/>
    <n v="3.98"/>
    <n v="176654.76"/>
    <n v="187750.29"/>
    <n v="4.24"/>
    <n v="187754.53"/>
    <n v="186991.37"/>
    <n v="4.24"/>
    <n v="186995.61"/>
    <n v="194364.18"/>
    <n v="4.63"/>
    <n v="194368.81"/>
    <n v="-758.92000000001281"/>
    <n v="-4.04208622822583E-3"/>
    <n v="7373.2000000000116"/>
    <n v="3.9429802656864597E-2"/>
  </r>
  <r>
    <s v="88"/>
    <x v="87"/>
    <n v="2651.13"/>
    <n v="0.87"/>
    <n v="2652"/>
    <n v="2649.99"/>
    <n v="1.01"/>
    <n v="2651"/>
    <n v="1756.39"/>
    <n v="1.01"/>
    <n v="1757.4"/>
    <n v="2653.33"/>
    <n v="1"/>
    <n v="2654.33"/>
    <n v="-893.59999999999991"/>
    <n v="-0.33708034703885298"/>
    <n v="896.92999999999984"/>
    <n v="0.51037327870718097"/>
  </r>
  <r>
    <s v="89"/>
    <x v="88"/>
    <n v="4957.1899999999996"/>
    <n v="64.22"/>
    <n v="5021.41"/>
    <n v="8413.0499999999993"/>
    <n v="20095.849999999999"/>
    <n v="28508.9"/>
    <n v="8838.52"/>
    <n v="3083.06"/>
    <n v="11921.58"/>
    <n v="7963.94"/>
    <n v="20085.38"/>
    <n v="28049.32"/>
    <n v="-16587.32"/>
    <n v="-0.58182953393501702"/>
    <n v="16127.74"/>
    <n v="1.3528190055345"/>
  </r>
  <r>
    <s v="90"/>
    <x v="89"/>
    <n v="1971.66"/>
    <n v="0"/>
    <n v="1971.66"/>
    <n v="3446.64"/>
    <n v="0"/>
    <n v="3446.64"/>
    <n v="2830.45"/>
    <n v="0"/>
    <n v="2830.45"/>
    <n v="3446"/>
    <n v="0"/>
    <n v="3446"/>
    <n v="-616.19000000000005"/>
    <n v="-0.17877991319081801"/>
    <n v="615.55000000000018"/>
    <n v="0.21747425321062"/>
  </r>
  <r>
    <s v="91"/>
    <x v="90"/>
    <n v="6203.39"/>
    <n v="1.3"/>
    <n v="6204.69"/>
    <n v="6656.17"/>
    <n v="1.61"/>
    <n v="6657.78"/>
    <n v="6430.27"/>
    <n v="2.89"/>
    <n v="6433.16"/>
    <n v="6760.29"/>
    <n v="5.33"/>
    <n v="6765.62"/>
    <n v="-224.61999999999989"/>
    <n v="-3.3737972717632597E-2"/>
    <n v="332.46000000000004"/>
    <n v="5.1679112597852399E-2"/>
  </r>
  <r>
    <s v="92"/>
    <x v="91"/>
    <n v="2688.69"/>
    <n v="86.01"/>
    <n v="2774.7"/>
    <n v="6017.04"/>
    <n v="83.06"/>
    <n v="6100.1"/>
    <n v="2637.54"/>
    <n v="66"/>
    <n v="2703.54"/>
    <n v="9759.51"/>
    <n v="126.29"/>
    <n v="9885.7999999999993"/>
    <n v="-3396.5600000000004"/>
    <n v="-0.55680398681988796"/>
    <n v="7182.2599999999993"/>
    <n v="2.65661318123645"/>
  </r>
  <r>
    <s v="93"/>
    <x v="92"/>
    <n v="8995.16"/>
    <n v="35.79"/>
    <n v="9030.9500000000007"/>
    <n v="13599.42"/>
    <n v="11.58"/>
    <n v="13611"/>
    <n v="11394.46"/>
    <n v="8.2799999999999994"/>
    <n v="11402.74"/>
    <n v="13678.02"/>
    <n v="9.57"/>
    <n v="13687.59"/>
    <n v="-2208.2600000000002"/>
    <n v="-0.162240834619058"/>
    <n v="2284.8500000000004"/>
    <n v="0.200377277742016"/>
  </r>
  <r>
    <s v="94"/>
    <x v="93"/>
    <n v="1083.8900000000001"/>
    <n v="0.01"/>
    <n v="1083.9000000000001"/>
    <n v="1273.8"/>
    <n v="1.2"/>
    <n v="1275"/>
    <n v="1290.4000000000001"/>
    <n v="1.2"/>
    <n v="1291.5999999999999"/>
    <n v="1668.35"/>
    <n v="1.37"/>
    <n v="1669.72"/>
    <n v="16.599999999999909"/>
    <n v="1.30196078431372E-2"/>
    <n v="378.12000000000012"/>
    <n v="0.29275317435738601"/>
  </r>
  <r>
    <s v="95"/>
    <x v="94"/>
    <n v="6923.93"/>
    <n v="4025.47"/>
    <n v="10949.4"/>
    <n v="7312.57"/>
    <n v="6103.63"/>
    <n v="13416.2"/>
    <n v="7138.73"/>
    <n v="5309.87"/>
    <n v="12448.6"/>
    <n v="7329.71"/>
    <n v="6375.92"/>
    <n v="13705.63"/>
    <n v="-967.60000000000036"/>
    <n v="-7.2121763241454404E-2"/>
    <n v="1257.0299999999988"/>
    <n v="0.10097761997333"/>
  </r>
  <r>
    <s v="96"/>
    <x v="95"/>
    <n v="3989.26"/>
    <n v="30.02"/>
    <n v="4019.28"/>
    <n v="5426.19"/>
    <n v="44.87"/>
    <n v="5471.06"/>
    <n v="5492.25"/>
    <n v="59.04"/>
    <n v="5551.29"/>
    <n v="5457.75"/>
    <n v="45.14"/>
    <n v="5502.89"/>
    <n v="80.229999999999563"/>
    <n v="1.46644343143741E-2"/>
    <n v="-48.399999999999636"/>
    <n v="-8.7186942134170001E-3"/>
  </r>
  <r>
    <s v="97"/>
    <x v="96"/>
    <n v="109.77"/>
    <n v="8429.2999999999993"/>
    <n v="8539.07"/>
    <n v="364.22"/>
    <n v="2997.78"/>
    <n v="3362"/>
    <n v="252.66"/>
    <n v="3019.78"/>
    <n v="3272.44"/>
    <n v="439.84"/>
    <n v="3.34"/>
    <n v="443.18"/>
    <n v="-89.559999999999945"/>
    <n v="-2.6638905413444401E-2"/>
    <n v="-2829.26"/>
    <n v="-0.86457200132011602"/>
  </r>
  <r>
    <s v="98"/>
    <x v="97"/>
    <n v="2895.37"/>
    <n v="42.42"/>
    <n v="2937.79"/>
    <n v="5252.89"/>
    <n v="19.11"/>
    <n v="5272"/>
    <n v="5748.14"/>
    <n v="18.54"/>
    <n v="5766.68"/>
    <n v="5269.52"/>
    <n v="9.49"/>
    <n v="5279.01"/>
    <n v="494.68000000000029"/>
    <n v="9.3831562974203406E-2"/>
    <n v="-487.67000000000007"/>
    <n v="-8.4566856492817394E-2"/>
  </r>
  <r>
    <s v="99"/>
    <x v="98"/>
    <n v="159.9"/>
    <n v="4.17"/>
    <n v="164.07"/>
    <n v="2534.9299999999998"/>
    <n v="6.13"/>
    <n v="2541.06"/>
    <n v="1304.17"/>
    <n v="6.13"/>
    <n v="1310.3"/>
    <n v="2433.87"/>
    <n v="4.53"/>
    <n v="2438.4"/>
    <n v="-1230.76"/>
    <n v="-0.48434905118336402"/>
    <n v="1128.1000000000001"/>
    <n v="0.86094787453254995"/>
  </r>
  <r>
    <s v="100"/>
    <x v="99"/>
    <n v="10129.81"/>
    <n v="2.0499999999999998"/>
    <n v="10131.86"/>
    <n v="14894.08"/>
    <n v="31.73"/>
    <n v="14925.81"/>
    <n v="10805.53"/>
    <n v="18.649999999999999"/>
    <n v="10824.18"/>
    <n v="15389.54"/>
    <n v="32.43"/>
    <n v="15421.97"/>
    <n v="-4101.6299999999992"/>
    <n v="-0.27480116656985398"/>
    <n v="4597.7899999999991"/>
    <n v="0.424770282829738"/>
  </r>
  <r>
    <s v="101"/>
    <x v="100"/>
    <n v="24835.97"/>
    <n v="6.52"/>
    <n v="24842.49"/>
    <n v="26884.99"/>
    <n v="4.7"/>
    <n v="26889.69"/>
    <n v="24368.65"/>
    <n v="5.26"/>
    <n v="24373.91"/>
    <n v="28177.42"/>
    <n v="5.64"/>
    <n v="28183.06"/>
    <n v="-2515.7799999999988"/>
    <n v="-9.3559278667771903E-2"/>
    <n v="3809.1500000000015"/>
    <n v="0.156279809025306"/>
  </r>
  <r>
    <s v="102"/>
    <x v="101"/>
    <n v="2708.49"/>
    <n v="2.2400000000000002"/>
    <n v="2710.73"/>
    <n v="3788.49"/>
    <n v="5.81"/>
    <n v="3794.3"/>
    <n v="3343.43"/>
    <n v="3.11"/>
    <n v="3346.54"/>
    <n v="4461.51"/>
    <n v="18.37"/>
    <n v="4479.88"/>
    <n v="-447.76000000000022"/>
    <n v="-0.118008591835121"/>
    <n v="1133.3400000000001"/>
    <n v="0.33866022817596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468E0-1EC1-4645-9B20-7F1F4FD05C05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55:B66" firstHeaderRow="1" firstDataRow="1" firstDataCol="1"/>
  <pivotFields count="18">
    <pivotField compact="0" outline="0" showAll="0"/>
    <pivotField name="Government Demand / Department" axis="axisRow" compact="0" outline="0" showAll="0" measureFilter="1" sortType="ascending">
      <items count="103">
        <item x="51"/>
        <item x="2"/>
        <item x="49"/>
        <item x="20"/>
        <item x="74"/>
        <item x="52"/>
        <item x="53"/>
        <item x="21"/>
        <item x="19"/>
        <item x="10"/>
        <item x="1"/>
        <item x="0"/>
        <item x="43"/>
        <item x="89"/>
        <item x="4"/>
        <item x="9"/>
        <item x="13"/>
        <item x="62"/>
        <item x="29"/>
        <item x="93"/>
        <item x="30"/>
        <item x="5"/>
        <item x="31"/>
        <item x="42"/>
        <item x="14"/>
        <item x="45"/>
        <item x="46"/>
        <item x="25"/>
        <item x="33"/>
        <item x="87"/>
        <item x="6"/>
        <item x="11"/>
        <item x="32"/>
        <item x="34"/>
        <item x="86"/>
        <item x="24"/>
        <item x="88"/>
        <item x="90"/>
        <item x="92"/>
        <item x="94"/>
        <item x="12"/>
        <item x="61"/>
        <item x="35"/>
        <item x="65"/>
        <item x="37"/>
        <item x="36"/>
        <item x="38"/>
        <item x="54"/>
        <item x="55"/>
        <item x="64"/>
        <item x="80"/>
        <item x="3"/>
        <item x="7"/>
        <item x="8"/>
        <item x="15"/>
        <item x="16"/>
        <item x="17"/>
        <item x="18"/>
        <item x="22"/>
        <item x="23"/>
        <item x="26"/>
        <item x="27"/>
        <item x="28"/>
        <item x="44"/>
        <item x="47"/>
        <item x="48"/>
        <item x="59"/>
        <item x="60"/>
        <item x="63"/>
        <item x="67"/>
        <item x="68"/>
        <item x="69"/>
        <item x="70"/>
        <item x="71"/>
        <item x="72"/>
        <item x="73"/>
        <item x="75"/>
        <item x="76"/>
        <item x="77"/>
        <item x="78"/>
        <item x="84"/>
        <item x="85"/>
        <item x="91"/>
        <item x="95"/>
        <item x="96"/>
        <item x="97"/>
        <item x="98"/>
        <item x="99"/>
        <item x="100"/>
        <item x="101"/>
        <item x="40"/>
        <item x="50"/>
        <item x="81"/>
        <item x="39"/>
        <item x="82"/>
        <item x="79"/>
        <item x="66"/>
        <item x="56"/>
        <item x="57"/>
        <item x="58"/>
        <item x="41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1">
    <i>
      <x v="33"/>
    </i>
    <i>
      <x v="17"/>
    </i>
    <i>
      <x v="66"/>
    </i>
    <i>
      <x v="40"/>
    </i>
    <i>
      <x v="68"/>
    </i>
    <i>
      <x v="36"/>
    </i>
    <i>
      <x v="69"/>
    </i>
    <i>
      <x v="35"/>
    </i>
    <i>
      <x v="41"/>
    </i>
    <i>
      <x v="60"/>
    </i>
    <i t="grand">
      <x/>
    </i>
  </rowItems>
  <colItems count="1">
    <i/>
  </colItems>
  <dataFields count="1">
    <dataField name="RE vs BE (₹ Cr)" fld="14" baseField="1" baseItem="21"/>
  </dataFields>
  <pivotTableStyleInfo name="PivotStyleLight16" showRowHeaders="1" showColHeaders="1" showRowStripes="0" showColStripes="0" showLastColumn="1"/>
  <filters count="1">
    <filter fld="1" type="count" evalOrder="-1" id="7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CC954-9EE4-4233-A9D5-35CE5388164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20:C31" firstHeaderRow="0" firstDataRow="1" firstDataCol="1"/>
  <pivotFields count="18">
    <pivotField compact="0" outline="0" showAll="0"/>
    <pivotField name="Government Demand / Department" axis="axisRow" compact="0" outline="0" showAll="0" measureFilter="1" sortType="descending">
      <items count="103">
        <item x="51"/>
        <item x="2"/>
        <item x="49"/>
        <item x="20"/>
        <item x="74"/>
        <item x="52"/>
        <item x="53"/>
        <item x="21"/>
        <item x="19"/>
        <item x="10"/>
        <item x="1"/>
        <item x="0"/>
        <item x="43"/>
        <item x="89"/>
        <item x="4"/>
        <item x="9"/>
        <item x="13"/>
        <item x="62"/>
        <item x="29"/>
        <item x="93"/>
        <item x="30"/>
        <item x="5"/>
        <item x="31"/>
        <item x="42"/>
        <item x="14"/>
        <item x="45"/>
        <item x="46"/>
        <item x="25"/>
        <item x="33"/>
        <item x="87"/>
        <item x="6"/>
        <item x="11"/>
        <item x="32"/>
        <item x="34"/>
        <item x="86"/>
        <item x="24"/>
        <item x="88"/>
        <item x="90"/>
        <item x="92"/>
        <item x="94"/>
        <item x="12"/>
        <item x="61"/>
        <item x="35"/>
        <item x="65"/>
        <item x="37"/>
        <item x="36"/>
        <item x="38"/>
        <item x="54"/>
        <item x="55"/>
        <item x="64"/>
        <item x="80"/>
        <item x="3"/>
        <item x="7"/>
        <item x="8"/>
        <item x="15"/>
        <item x="16"/>
        <item x="17"/>
        <item x="18"/>
        <item x="22"/>
        <item x="23"/>
        <item x="26"/>
        <item x="27"/>
        <item x="28"/>
        <item x="44"/>
        <item x="47"/>
        <item x="48"/>
        <item x="59"/>
        <item x="60"/>
        <item x="63"/>
        <item x="67"/>
        <item x="68"/>
        <item x="69"/>
        <item x="70"/>
        <item x="71"/>
        <item x="72"/>
        <item x="73"/>
        <item x="75"/>
        <item x="76"/>
        <item x="77"/>
        <item x="78"/>
        <item x="84"/>
        <item x="85"/>
        <item x="91"/>
        <item x="95"/>
        <item x="96"/>
        <item x="97"/>
        <item x="98"/>
        <item x="99"/>
        <item x="100"/>
        <item x="101"/>
        <item x="40"/>
        <item x="50"/>
        <item x="81"/>
        <item x="39"/>
        <item x="82"/>
        <item x="79"/>
        <item x="66"/>
        <item x="56"/>
        <item x="57"/>
        <item x="58"/>
        <item x="41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11">
    <i>
      <x v="18"/>
    </i>
    <i>
      <x v="8"/>
    </i>
    <i>
      <x v="21"/>
    </i>
    <i>
      <x v="100"/>
    </i>
    <i>
      <x v="24"/>
    </i>
    <i>
      <x v="76"/>
    </i>
    <i>
      <x v="7"/>
    </i>
    <i>
      <x v="3"/>
    </i>
    <i>
      <x v="65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RE vs BE (₹ Cr)" fld="14" baseField="1" baseItem="21"/>
    <dataField name="RE vs BE (%)" fld="15" baseField="1" baseItem="8"/>
  </dataFields>
  <formats count="2">
    <format dxfId="1">
      <pivotArea dataOnly="0"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2">
          <reference field="4294967294" count="1" selected="0">
            <x v="0"/>
          </reference>
          <reference field="1" count="10" selected="0">
            <x v="3"/>
            <x v="7"/>
            <x v="8"/>
            <x v="18"/>
            <x v="21"/>
            <x v="24"/>
            <x v="47"/>
            <x v="65"/>
            <x v="76"/>
            <x v="100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9CF09-AE91-4205-9E38-2C63E75C1C79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6">
  <location ref="A3:B13" firstHeaderRow="1" firstDataRow="1" firstDataCol="1"/>
  <pivotFields count="18">
    <pivotField compact="0" outline="0" showAll="0"/>
    <pivotField name="Government Demand / Department" axis="axisRow" compact="0" outline="0" showAll="0" measureFilter="1" sortType="ascending">
      <items count="103">
        <item x="51"/>
        <item x="2"/>
        <item x="49"/>
        <item x="20"/>
        <item x="74"/>
        <item x="52"/>
        <item x="53"/>
        <item x="21"/>
        <item x="19"/>
        <item x="10"/>
        <item x="1"/>
        <item x="0"/>
        <item x="43"/>
        <item x="89"/>
        <item x="4"/>
        <item x="9"/>
        <item x="13"/>
        <item x="62"/>
        <item x="29"/>
        <item x="93"/>
        <item x="30"/>
        <item x="5"/>
        <item x="31"/>
        <item x="42"/>
        <item x="14"/>
        <item x="45"/>
        <item x="46"/>
        <item x="25"/>
        <item x="33"/>
        <item x="87"/>
        <item x="6"/>
        <item x="11"/>
        <item x="32"/>
        <item x="34"/>
        <item x="86"/>
        <item x="24"/>
        <item x="88"/>
        <item x="90"/>
        <item x="92"/>
        <item x="94"/>
        <item x="12"/>
        <item x="61"/>
        <item x="35"/>
        <item x="65"/>
        <item x="37"/>
        <item x="36"/>
        <item x="38"/>
        <item x="54"/>
        <item x="55"/>
        <item x="64"/>
        <item x="80"/>
        <item x="3"/>
        <item x="7"/>
        <item x="8"/>
        <item x="15"/>
        <item x="16"/>
        <item x="17"/>
        <item x="18"/>
        <item x="22"/>
        <item x="23"/>
        <item x="26"/>
        <item x="27"/>
        <item x="28"/>
        <item x="44"/>
        <item x="47"/>
        <item x="48"/>
        <item x="59"/>
        <item x="60"/>
        <item x="63"/>
        <item x="67"/>
        <item x="68"/>
        <item x="69"/>
        <item x="70"/>
        <item x="71"/>
        <item x="72"/>
        <item x="73"/>
        <item x="75"/>
        <item x="76"/>
        <item x="77"/>
        <item x="78"/>
        <item x="84"/>
        <item x="85"/>
        <item x="91"/>
        <item x="95"/>
        <item x="96"/>
        <item x="97"/>
        <item x="98"/>
        <item x="99"/>
        <item x="100"/>
        <item x="101"/>
        <item x="40"/>
        <item x="50"/>
        <item x="81"/>
        <item x="39"/>
        <item x="82"/>
        <item x="79"/>
        <item x="66"/>
        <item x="56"/>
        <item x="57"/>
        <item x="58"/>
        <item x="41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0">
    <i>
      <x v="7"/>
    </i>
    <i>
      <x v="91"/>
    </i>
    <i>
      <x v="34"/>
    </i>
    <i>
      <x v="3"/>
    </i>
    <i>
      <x v="24"/>
    </i>
    <i>
      <x v="80"/>
    </i>
    <i>
      <x v="81"/>
    </i>
    <i>
      <x v="8"/>
    </i>
    <i>
      <x v="100"/>
    </i>
    <i>
      <x v="46"/>
    </i>
  </rowItems>
  <colItems count="1">
    <i/>
  </colItems>
  <dataFields count="1">
    <dataField name="BE 2026–27 (₹ Cr)" fld="13" baseField="1" baseItem="91" numFmtId="172"/>
  </dataFields>
  <formats count="1">
    <format dxfId="2">
      <pivotArea outline="0" fieldPosition="0">
        <references count="1">
          <reference field="1" count="10" selected="0">
            <x v="3"/>
            <x v="7"/>
            <x v="8"/>
            <x v="24"/>
            <x v="34"/>
            <x v="46"/>
            <x v="80"/>
            <x v="81"/>
            <x v="91"/>
            <x v="100"/>
          </reference>
        </references>
      </pivotArea>
    </format>
  </formats>
  <chartFormats count="4"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0030E1-1E21-4478-9257-0C04E416CE73}" autoFormatId="16" applyNumberFormats="0" applyBorderFormats="0" applyFontFormats="0" applyPatternFormats="0" applyAlignmentFormats="0" applyWidthHeightFormats="0">
  <queryTableRefresh nextId="19">
    <queryTableFields count="18">
      <queryTableField id="1" name="Demand No" tableColumnId="1"/>
      <queryTableField id="2" name="Ministry Department" tableColumnId="2"/>
      <queryTableField id="3" name="Actual_2024_25_Revenue" tableColumnId="3"/>
      <queryTableField id="4" name="Actual_2024_25_Capital" tableColumnId="4"/>
      <queryTableField id="5" name="Actual_2024_25_Total" tableColumnId="5"/>
      <queryTableField id="6" name="BE_2025_26_Revenue" tableColumnId="6"/>
      <queryTableField id="7" name="BE_2025_26_Capital" tableColumnId="7"/>
      <queryTableField id="8" name="BE_2025_26_Total" tableColumnId="8"/>
      <queryTableField id="9" name="RE_2025_26_Revenue" tableColumnId="9"/>
      <queryTableField id="10" name="RE_2025_26_Capital" tableColumnId="10"/>
      <queryTableField id="11" name="RE_2025_26_Total" tableColumnId="11"/>
      <queryTableField id="12" name="BE_2026_27_Revenue" tableColumnId="12"/>
      <queryTableField id="13" name="BE_2026_27_Capital" tableColumnId="13"/>
      <queryTableField id="14" name="BE_2026_27_Total" tableColumnId="14"/>
      <queryTableField id="15" name="RE_vs_BE_2025_26_Variance" tableColumnId="15"/>
      <queryTableField id="16" name="RE_vs_BE_2025_26_Variance_Pct" tableColumnId="16"/>
      <queryTableField id="17" name="BE_2026_27_vs_RE_2025_26_Variance" tableColumnId="17"/>
      <queryTableField id="18" name="BE_2026_27_vs_RE_2025_26_Variance_Pc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E2413-A961-449C-99F8-6B99DD5FF9D5}" name="GOI_Expenditure_Clean" displayName="GOI_Expenditure_Clean" ref="A1:R103" tableType="queryTable" totalsRowShown="0">
  <autoFilter ref="A1:R103" xr:uid="{1EEE2413-A961-449C-99F8-6B99DD5FF9D5}"/>
  <tableColumns count="18">
    <tableColumn id="1" xr3:uid="{2359B3C7-912D-48F9-806C-B3DEE8964103}" uniqueName="1" name="Demand No" queryTableFieldId="1"/>
    <tableColumn id="2" xr3:uid="{698C92CD-83F4-47DC-805C-98311F9D47B0}" uniqueName="2" name="Ministry Department" queryTableFieldId="2" dataDxfId="17"/>
    <tableColumn id="3" xr3:uid="{9521D156-D65A-443E-BB6A-5A8D951EEE79}" uniqueName="3" name="Actual_2024_25_Revenue" queryTableFieldId="3" dataDxfId="16"/>
    <tableColumn id="4" xr3:uid="{D923FCE2-8BF6-4176-B2BF-DFDD18757F57}" uniqueName="4" name="Actual_2024_25_Capital" queryTableFieldId="4" dataDxfId="15"/>
    <tableColumn id="5" xr3:uid="{6AF4DEAA-DD64-409D-B08C-A0CD2E76F451}" uniqueName="5" name="Actual_2024_25_Total" queryTableFieldId="5" dataDxfId="14"/>
    <tableColumn id="6" xr3:uid="{9C4A6517-BE0A-48BD-84E2-06919FE73BD8}" uniqueName="6" name="BE_2025_26_Revenue" queryTableFieldId="6" dataDxfId="13"/>
    <tableColumn id="7" xr3:uid="{ED77A694-C6AC-47C2-B113-77A2FEF65A5E}" uniqueName="7" name="BE_2025_26_Capital" queryTableFieldId="7" dataDxfId="12"/>
    <tableColumn id="8" xr3:uid="{2ABBB900-FAB2-4B76-B01A-5EA4C1A58E21}" uniqueName="8" name="BE_2025_26_Total" queryTableFieldId="8" dataDxfId="11"/>
    <tableColumn id="9" xr3:uid="{AF095BFD-03E1-49C3-B1D2-EEFE6CE8DA58}" uniqueName="9" name="RE_2025_26_Revenue" queryTableFieldId="9" dataDxfId="10"/>
    <tableColumn id="10" xr3:uid="{533644EC-8032-4EAB-8338-87469862757B}" uniqueName="10" name="RE_2025_26_Capital" queryTableFieldId="10" dataDxfId="9"/>
    <tableColumn id="11" xr3:uid="{BCB0BF24-6EE8-401E-8CA5-813075547C50}" uniqueName="11" name="RE_2025_26_Total" queryTableFieldId="11" dataDxfId="8"/>
    <tableColumn id="12" xr3:uid="{F1184B92-35FB-42B5-91C4-EEC7638F3B41}" uniqueName="12" name="BE_2026_27_Revenue" queryTableFieldId="12" dataDxfId="7"/>
    <tableColumn id="13" xr3:uid="{115207CC-6F21-4FFB-8697-BA0B8DFD2F8A}" uniqueName="13" name="BE_2026_27_Capital" queryTableFieldId="13" dataDxfId="6"/>
    <tableColumn id="14" xr3:uid="{01529AEC-730B-45DA-B12E-C5ED6C3B81BE}" uniqueName="14" name="BE_2026_27_Total" queryTableFieldId="14" dataDxfId="5"/>
    <tableColumn id="15" xr3:uid="{D0BBB41E-A730-4AAB-B5EF-D73D28516487}" uniqueName="15" name="RE_vs_BE_2025_26_Variance" queryTableFieldId="15"/>
    <tableColumn id="16" xr3:uid="{470BB025-8735-4D83-9F73-7EBF6D059CE1}" uniqueName="16" name="RE_vs_BE_2025_26_Variance_Pct" queryTableFieldId="16" dataDxfId="4" dataCellStyle="Per cent"/>
    <tableColumn id="17" xr3:uid="{D8AF7B31-2BF6-4FD9-B9CA-B26133BB9576}" uniqueName="17" name="BE_2026_27_vs_RE_2025_26_Variance" queryTableFieldId="17"/>
    <tableColumn id="18" xr3:uid="{B213A6CD-9FE8-433D-A9B0-EDDEDBCD9BF3}" uniqueName="18" name="BE_2026_27_vs_RE_2025_26_Variance_Pct" queryTableFieldId="18" dataDxfId="3" dataCellStyle="Per c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4CB6-FB92-4FDD-83E3-50B401DA913F}">
  <dimension ref="A1:R103"/>
  <sheetViews>
    <sheetView workbookViewId="0">
      <selection sqref="A1:R103"/>
    </sheetView>
  </sheetViews>
  <sheetFormatPr defaultRowHeight="14.5"/>
  <cols>
    <col min="1" max="1" width="13" bestFit="1" customWidth="1"/>
    <col min="2" max="2" width="43.08984375" customWidth="1"/>
    <col min="3" max="3" width="24.81640625" bestFit="1" customWidth="1"/>
    <col min="4" max="4" width="23.453125" bestFit="1" customWidth="1"/>
    <col min="5" max="5" width="21.81640625" bestFit="1" customWidth="1"/>
    <col min="6" max="6" width="21.54296875" bestFit="1" customWidth="1"/>
    <col min="7" max="7" width="20.1796875" bestFit="1" customWidth="1"/>
    <col min="8" max="8" width="18.54296875" bestFit="1" customWidth="1"/>
    <col min="9" max="9" width="21.54296875" bestFit="1" customWidth="1"/>
    <col min="10" max="10" width="20.1796875" bestFit="1" customWidth="1"/>
    <col min="11" max="11" width="18.54296875" bestFit="1" customWidth="1"/>
    <col min="12" max="12" width="21.54296875" bestFit="1" customWidth="1"/>
    <col min="13" max="13" width="20.1796875" bestFit="1" customWidth="1"/>
    <col min="14" max="14" width="18.54296875" bestFit="1" customWidth="1"/>
    <col min="15" max="15" width="27.6328125" bestFit="1" customWidth="1"/>
    <col min="16" max="16" width="31.26953125" style="2" bestFit="1" customWidth="1"/>
    <col min="17" max="17" width="35.81640625" bestFit="1" customWidth="1"/>
    <col min="18" max="18" width="39.453125" style="2" bestFit="1" customWidth="1"/>
  </cols>
  <sheetData>
    <row r="1" spans="1:1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219</v>
      </c>
      <c r="P1" s="2" t="s">
        <v>220</v>
      </c>
      <c r="Q1" t="s">
        <v>221</v>
      </c>
      <c r="R1" s="2" t="s">
        <v>222</v>
      </c>
    </row>
    <row r="2" spans="1:18">
      <c r="A2" t="s">
        <v>15</v>
      </c>
      <c r="B2" s="1" t="s">
        <v>16</v>
      </c>
      <c r="C2" s="1">
        <v>129858.28</v>
      </c>
      <c r="D2" s="1">
        <v>75.19</v>
      </c>
      <c r="E2" s="1">
        <v>129933.47</v>
      </c>
      <c r="F2" s="1">
        <v>127202.29</v>
      </c>
      <c r="G2" s="1">
        <v>87.87</v>
      </c>
      <c r="H2" s="1">
        <v>127290.16</v>
      </c>
      <c r="I2" s="1">
        <v>123003.13</v>
      </c>
      <c r="J2" s="1">
        <v>86.17</v>
      </c>
      <c r="K2" s="1">
        <v>123089.3</v>
      </c>
      <c r="L2" s="1">
        <v>130451.62</v>
      </c>
      <c r="M2" s="1">
        <v>109.76</v>
      </c>
      <c r="N2" s="1">
        <v>130561.38</v>
      </c>
      <c r="O2">
        <v>-4200.8600000000006</v>
      </c>
      <c r="P2" s="2">
        <v>-3.3002236779339403E-2</v>
      </c>
      <c r="Q2">
        <v>7472.0800000000017</v>
      </c>
      <c r="R2" s="2">
        <v>6.0704545399153299E-2</v>
      </c>
    </row>
    <row r="3" spans="1:18">
      <c r="A3" t="s">
        <v>17</v>
      </c>
      <c r="B3" s="1" t="s">
        <v>18</v>
      </c>
      <c r="C3" s="1">
        <v>9807.3799999999992</v>
      </c>
      <c r="D3" s="1">
        <v>3.15</v>
      </c>
      <c r="E3" s="1">
        <v>9810.5300000000007</v>
      </c>
      <c r="F3" s="1">
        <v>10462.06</v>
      </c>
      <c r="G3" s="1">
        <v>4.33</v>
      </c>
      <c r="H3" s="1">
        <v>10466.39</v>
      </c>
      <c r="I3" s="1">
        <v>10278.34</v>
      </c>
      <c r="J3" s="1">
        <v>2.4900000000000002</v>
      </c>
      <c r="K3" s="1">
        <v>10280.83</v>
      </c>
      <c r="L3" s="1">
        <v>9964.9500000000007</v>
      </c>
      <c r="M3" s="1">
        <v>2.4500000000000002</v>
      </c>
      <c r="N3" s="1">
        <v>9967.4</v>
      </c>
      <c r="O3">
        <v>-185.55999999999949</v>
      </c>
      <c r="P3" s="2">
        <v>-1.77291310566489E-2</v>
      </c>
      <c r="Q3">
        <v>-313.43000000000029</v>
      </c>
      <c r="R3" s="2">
        <v>-3.0486838124937399E-2</v>
      </c>
    </row>
    <row r="4" spans="1:18">
      <c r="A4" t="s">
        <v>19</v>
      </c>
      <c r="B4" s="1" t="s">
        <v>20</v>
      </c>
      <c r="C4" s="1">
        <v>12692.24</v>
      </c>
      <c r="D4" s="1">
        <v>12400.34</v>
      </c>
      <c r="E4" s="1">
        <v>25092.58</v>
      </c>
      <c r="F4" s="1">
        <v>12071.46</v>
      </c>
      <c r="G4" s="1">
        <v>11977.64</v>
      </c>
      <c r="H4" s="1">
        <v>24049.1</v>
      </c>
      <c r="I4" s="1">
        <v>12349.65</v>
      </c>
      <c r="J4" s="1">
        <v>12061.82</v>
      </c>
      <c r="K4" s="1">
        <v>24411.47</v>
      </c>
      <c r="L4" s="1">
        <v>14157.51</v>
      </c>
      <c r="M4" s="1">
        <v>9966.41</v>
      </c>
      <c r="N4" s="1">
        <v>24123.919999999998</v>
      </c>
      <c r="O4">
        <v>362.37000000000262</v>
      </c>
      <c r="P4" s="2">
        <v>1.50679235397584E-2</v>
      </c>
      <c r="Q4">
        <v>-287.55000000000291</v>
      </c>
      <c r="R4" s="2">
        <v>-1.1779298829607701E-2</v>
      </c>
    </row>
    <row r="5" spans="1:18">
      <c r="A5" t="s">
        <v>21</v>
      </c>
      <c r="B5" s="1" t="s">
        <v>22</v>
      </c>
      <c r="C5" s="1">
        <v>3299.71</v>
      </c>
      <c r="D5" s="1">
        <v>12.34</v>
      </c>
      <c r="E5" s="1">
        <v>3312.05</v>
      </c>
      <c r="F5" s="1">
        <v>3937.45</v>
      </c>
      <c r="G5" s="1">
        <v>55.45</v>
      </c>
      <c r="H5" s="1">
        <v>3992.9</v>
      </c>
      <c r="I5" s="1">
        <v>3618.47</v>
      </c>
      <c r="J5" s="1">
        <v>53.35</v>
      </c>
      <c r="K5" s="1">
        <v>3671.82</v>
      </c>
      <c r="L5" s="1">
        <v>4381.8599999999997</v>
      </c>
      <c r="M5" s="1">
        <v>27.07</v>
      </c>
      <c r="N5" s="1">
        <v>4408.93</v>
      </c>
      <c r="O5">
        <v>-321.07999999999993</v>
      </c>
      <c r="P5" s="2">
        <v>-8.0412732600365605E-2</v>
      </c>
      <c r="Q5">
        <v>737.11000000000013</v>
      </c>
      <c r="R5" s="2">
        <v>0.20074785801046899</v>
      </c>
    </row>
    <row r="6" spans="1:18">
      <c r="A6" t="s">
        <v>23</v>
      </c>
      <c r="B6" s="1" t="s">
        <v>24</v>
      </c>
      <c r="C6" s="1">
        <v>104.65</v>
      </c>
      <c r="D6" s="1">
        <v>121.36</v>
      </c>
      <c r="E6" s="1">
        <v>226.01</v>
      </c>
      <c r="F6" s="1">
        <v>192.07</v>
      </c>
      <c r="G6" s="1">
        <v>1.98</v>
      </c>
      <c r="H6" s="1">
        <v>194.05</v>
      </c>
      <c r="I6" s="1">
        <v>184.37</v>
      </c>
      <c r="J6" s="1">
        <v>1.2</v>
      </c>
      <c r="K6" s="1">
        <v>185.57</v>
      </c>
      <c r="L6" s="1">
        <v>184.7</v>
      </c>
      <c r="M6" s="1">
        <v>1.02</v>
      </c>
      <c r="N6" s="1">
        <v>185.72</v>
      </c>
      <c r="O6">
        <v>-8.4800000000000182</v>
      </c>
      <c r="P6" s="2">
        <v>-4.3700077299665102E-2</v>
      </c>
      <c r="Q6">
        <v>0.15000000000000568</v>
      </c>
      <c r="R6" s="2">
        <v>8.0832031039502995E-4</v>
      </c>
    </row>
    <row r="7" spans="1:18">
      <c r="A7" t="s">
        <v>25</v>
      </c>
      <c r="B7" s="1" t="s">
        <v>26</v>
      </c>
      <c r="C7" s="1">
        <v>181785.32</v>
      </c>
      <c r="D7" s="1">
        <v>8.06</v>
      </c>
      <c r="E7" s="1">
        <v>181793.38</v>
      </c>
      <c r="F7" s="1">
        <v>156487.26</v>
      </c>
      <c r="G7" s="1">
        <v>15.18</v>
      </c>
      <c r="H7" s="1">
        <v>156502.44</v>
      </c>
      <c r="I7" s="1">
        <v>186612.35</v>
      </c>
      <c r="J7" s="1">
        <v>18.28</v>
      </c>
      <c r="K7" s="1">
        <v>186630.63</v>
      </c>
      <c r="L7" s="1">
        <v>170935.64</v>
      </c>
      <c r="M7" s="1">
        <v>8.89</v>
      </c>
      <c r="N7" s="1">
        <v>170944.53</v>
      </c>
      <c r="O7">
        <v>30128.190000000002</v>
      </c>
      <c r="P7" s="2">
        <v>0.192509394741705</v>
      </c>
      <c r="Q7">
        <v>-15686.100000000006</v>
      </c>
      <c r="R7" s="2">
        <v>-8.4048904512619399E-2</v>
      </c>
    </row>
    <row r="8" spans="1:18">
      <c r="A8" t="s">
        <v>27</v>
      </c>
      <c r="B8" s="1" t="s">
        <v>28</v>
      </c>
      <c r="C8" s="1">
        <v>2933.35</v>
      </c>
      <c r="D8" s="1">
        <v>39.99</v>
      </c>
      <c r="E8" s="1">
        <v>2973.34</v>
      </c>
      <c r="F8" s="1">
        <v>5267.16</v>
      </c>
      <c r="G8" s="1">
        <v>1.56</v>
      </c>
      <c r="H8" s="1">
        <v>5268.72</v>
      </c>
      <c r="I8" s="1">
        <v>4368.2</v>
      </c>
      <c r="J8" s="1">
        <v>1.5</v>
      </c>
      <c r="K8" s="1">
        <v>4369.7</v>
      </c>
      <c r="L8" s="1">
        <v>5929.42</v>
      </c>
      <c r="M8" s="1">
        <v>1.8</v>
      </c>
      <c r="N8" s="1">
        <v>5931.22</v>
      </c>
      <c r="O8">
        <v>-899.02000000000044</v>
      </c>
      <c r="P8" s="2">
        <v>-0.17063347454410199</v>
      </c>
      <c r="Q8">
        <v>1561.5200000000004</v>
      </c>
      <c r="R8" s="2">
        <v>0.35735176327894402</v>
      </c>
    </row>
    <row r="9" spans="1:18">
      <c r="A9" t="s">
        <v>29</v>
      </c>
      <c r="B9" s="1" t="s">
        <v>30</v>
      </c>
      <c r="C9" s="1">
        <v>2503.5100000000002</v>
      </c>
      <c r="D9" s="1">
        <v>97.12</v>
      </c>
      <c r="E9" s="1">
        <v>2600.63</v>
      </c>
      <c r="F9" s="1">
        <v>2330.31</v>
      </c>
      <c r="G9" s="1">
        <v>70</v>
      </c>
      <c r="H9" s="1">
        <v>2400.31</v>
      </c>
      <c r="I9" s="1">
        <v>2014.48</v>
      </c>
      <c r="J9" s="1">
        <v>41.01</v>
      </c>
      <c r="K9" s="1">
        <v>2055.4899999999998</v>
      </c>
      <c r="L9" s="1">
        <v>2057.87</v>
      </c>
      <c r="M9" s="1">
        <v>45</v>
      </c>
      <c r="N9" s="1">
        <v>2102.87</v>
      </c>
      <c r="O9">
        <v>-344.82000000000016</v>
      </c>
      <c r="P9" s="2">
        <v>-0.143656444375935</v>
      </c>
      <c r="Q9">
        <v>47.380000000000109</v>
      </c>
      <c r="R9" s="2">
        <v>2.3050464852662898E-2</v>
      </c>
    </row>
    <row r="10" spans="1:18">
      <c r="A10" t="s">
        <v>31</v>
      </c>
      <c r="B10" s="1" t="s">
        <v>32</v>
      </c>
      <c r="C10" s="1">
        <v>133.51</v>
      </c>
      <c r="D10" s="1">
        <v>2.16</v>
      </c>
      <c r="E10" s="1">
        <v>135.66999999999999</v>
      </c>
      <c r="F10" s="1">
        <v>499</v>
      </c>
      <c r="G10" s="1">
        <v>2.2000000000000002</v>
      </c>
      <c r="H10" s="1">
        <v>501.2</v>
      </c>
      <c r="I10" s="1">
        <v>488.76</v>
      </c>
      <c r="J10" s="1">
        <v>2.2000000000000002</v>
      </c>
      <c r="K10" s="1">
        <v>490.96</v>
      </c>
      <c r="L10" s="1">
        <v>3633.12</v>
      </c>
      <c r="M10" s="1">
        <v>2.2000000000000002</v>
      </c>
      <c r="N10" s="1">
        <v>3635.32</v>
      </c>
      <c r="O10">
        <v>-10.240000000000009</v>
      </c>
      <c r="P10" s="2">
        <v>-2.0430965682362402E-2</v>
      </c>
      <c r="Q10">
        <v>3144.36</v>
      </c>
      <c r="R10" s="2">
        <v>6.4045136059964198</v>
      </c>
    </row>
    <row r="11" spans="1:18">
      <c r="A11" t="s">
        <v>33</v>
      </c>
      <c r="B11" s="1" t="s">
        <v>34</v>
      </c>
      <c r="C11" s="1">
        <v>5367.76</v>
      </c>
      <c r="D11" s="1">
        <v>44.69</v>
      </c>
      <c r="E11" s="1">
        <v>5412.45</v>
      </c>
      <c r="F11" s="1">
        <v>5246.99</v>
      </c>
      <c r="G11" s="1">
        <v>54</v>
      </c>
      <c r="H11" s="1">
        <v>5300.99</v>
      </c>
      <c r="I11" s="1">
        <v>6556.54</v>
      </c>
      <c r="J11" s="1">
        <v>49.48</v>
      </c>
      <c r="K11" s="1">
        <v>6606.02</v>
      </c>
      <c r="L11" s="1">
        <v>5825.76</v>
      </c>
      <c r="M11" s="1">
        <v>47.31</v>
      </c>
      <c r="N11" s="1">
        <v>5873.07</v>
      </c>
      <c r="O11">
        <v>1305.0300000000007</v>
      </c>
      <c r="P11" s="2">
        <v>0.24618608976813799</v>
      </c>
      <c r="Q11">
        <v>-732.95000000000073</v>
      </c>
      <c r="R11" s="2">
        <v>-0.110951828786471</v>
      </c>
    </row>
    <row r="12" spans="1:18">
      <c r="A12" t="s">
        <v>35</v>
      </c>
      <c r="B12" s="1" t="s">
        <v>36</v>
      </c>
      <c r="C12" s="1">
        <v>6489.22</v>
      </c>
      <c r="D12" s="1">
        <v>1397.47</v>
      </c>
      <c r="E12" s="1">
        <v>7886.69</v>
      </c>
      <c r="F12" s="1">
        <v>7452.93</v>
      </c>
      <c r="G12" s="1">
        <v>5692.13</v>
      </c>
      <c r="H12" s="1">
        <v>13145.06</v>
      </c>
      <c r="I12" s="1">
        <v>4114.8</v>
      </c>
      <c r="J12" s="1">
        <v>4501.3500000000004</v>
      </c>
      <c r="K12" s="1">
        <v>8616.15</v>
      </c>
      <c r="L12" s="1">
        <v>6851.7</v>
      </c>
      <c r="M12" s="1">
        <v>5119.13</v>
      </c>
      <c r="N12" s="1">
        <v>11970.83</v>
      </c>
      <c r="O12">
        <v>-4528.91</v>
      </c>
      <c r="P12" s="2">
        <v>-0.34453323149532999</v>
      </c>
      <c r="Q12">
        <v>3354.6800000000003</v>
      </c>
      <c r="R12" s="2">
        <v>0.38934791060972701</v>
      </c>
    </row>
    <row r="13" spans="1:18">
      <c r="A13" t="s">
        <v>37</v>
      </c>
      <c r="B13" s="1" t="s">
        <v>38</v>
      </c>
      <c r="C13" s="1">
        <v>24915.200000000001</v>
      </c>
      <c r="D13" s="1">
        <v>1190.49</v>
      </c>
      <c r="E13" s="1">
        <v>26105.69</v>
      </c>
      <c r="F13" s="1">
        <v>26141.51</v>
      </c>
      <c r="G13" s="1">
        <v>958.35</v>
      </c>
      <c r="H13" s="1">
        <v>27099.86</v>
      </c>
      <c r="I13" s="1">
        <v>25323.87</v>
      </c>
      <c r="J13" s="1">
        <v>1046.1099999999999</v>
      </c>
      <c r="K13" s="1">
        <v>26369.98</v>
      </c>
      <c r="L13" s="1">
        <v>27026.57</v>
      </c>
      <c r="M13" s="1">
        <v>1249.51</v>
      </c>
      <c r="N13" s="1">
        <v>28276.080000000002</v>
      </c>
      <c r="O13">
        <v>-729.88000000000102</v>
      </c>
      <c r="P13" s="2">
        <v>-2.6932980465581801E-2</v>
      </c>
      <c r="Q13">
        <v>1906.1000000000022</v>
      </c>
      <c r="R13" s="2">
        <v>7.2282952053812799E-2</v>
      </c>
    </row>
    <row r="14" spans="1:18">
      <c r="A14" t="s">
        <v>39</v>
      </c>
      <c r="B14" s="1" t="s">
        <v>40</v>
      </c>
      <c r="C14" s="1">
        <v>47880.58</v>
      </c>
      <c r="D14" s="1">
        <v>73846.06</v>
      </c>
      <c r="E14" s="1">
        <v>121726.64</v>
      </c>
      <c r="F14" s="1">
        <v>29220.49</v>
      </c>
      <c r="G14" s="1">
        <v>51784.75</v>
      </c>
      <c r="H14" s="1">
        <v>81005.240000000005</v>
      </c>
      <c r="I14" s="1">
        <v>29482.37</v>
      </c>
      <c r="J14" s="1">
        <v>23915.8</v>
      </c>
      <c r="K14" s="1">
        <v>53398.17</v>
      </c>
      <c r="L14" s="1">
        <v>26716.02</v>
      </c>
      <c r="M14" s="1">
        <v>47274.92</v>
      </c>
      <c r="N14" s="1">
        <v>73990.94</v>
      </c>
      <c r="O14">
        <v>-27607.070000000007</v>
      </c>
      <c r="P14" s="2">
        <v>-0.34080597748985098</v>
      </c>
      <c r="Q14">
        <v>20592.770000000004</v>
      </c>
      <c r="R14" s="2">
        <v>0.38564561294890798</v>
      </c>
    </row>
    <row r="15" spans="1:18">
      <c r="A15" t="s">
        <v>41</v>
      </c>
      <c r="B15" s="1" t="s">
        <v>42</v>
      </c>
      <c r="C15" s="1">
        <v>7239.86</v>
      </c>
      <c r="D15" s="1">
        <v>62.38</v>
      </c>
      <c r="E15" s="1">
        <v>7302.24</v>
      </c>
      <c r="F15" s="1">
        <v>4276.3</v>
      </c>
      <c r="G15" s="1">
        <v>84.42</v>
      </c>
      <c r="H15" s="1">
        <v>4360.72</v>
      </c>
      <c r="I15" s="1">
        <v>3283.27</v>
      </c>
      <c r="J15" s="1">
        <v>78.55</v>
      </c>
      <c r="K15" s="1">
        <v>3361.82</v>
      </c>
      <c r="L15" s="1">
        <v>4380.75</v>
      </c>
      <c r="M15" s="1">
        <v>93.42</v>
      </c>
      <c r="N15" s="1">
        <v>4474.17</v>
      </c>
      <c r="O15">
        <v>-998.90000000000009</v>
      </c>
      <c r="P15" s="2">
        <v>-0.22906767689739299</v>
      </c>
      <c r="Q15">
        <v>1112.3499999999999</v>
      </c>
      <c r="R15" s="2">
        <v>0.33087732240274598</v>
      </c>
    </row>
    <row r="16" spans="1:18">
      <c r="A16" t="s">
        <v>43</v>
      </c>
      <c r="B16" s="1" t="s">
        <v>44</v>
      </c>
      <c r="C16" s="1">
        <v>207602.24</v>
      </c>
      <c r="D16" s="1">
        <v>104.26</v>
      </c>
      <c r="E16" s="1">
        <v>207706.5</v>
      </c>
      <c r="F16" s="1">
        <v>211386.14</v>
      </c>
      <c r="G16" s="1">
        <v>20.23</v>
      </c>
      <c r="H16" s="1">
        <v>211406.37</v>
      </c>
      <c r="I16" s="1">
        <v>235024.93</v>
      </c>
      <c r="J16" s="1">
        <v>22.72</v>
      </c>
      <c r="K16" s="1">
        <v>235047.65</v>
      </c>
      <c r="L16" s="1">
        <v>235024.58</v>
      </c>
      <c r="M16" s="1">
        <v>22.62</v>
      </c>
      <c r="N16" s="1">
        <v>235047.2</v>
      </c>
      <c r="O16">
        <v>23641.279999999999</v>
      </c>
      <c r="P16" s="2">
        <v>0.111828607624264</v>
      </c>
      <c r="Q16">
        <v>-0.4499999999825377</v>
      </c>
      <c r="R16" s="2">
        <v>-1.9145054204223601E-6</v>
      </c>
    </row>
    <row r="17" spans="1:18">
      <c r="A17" t="s">
        <v>45</v>
      </c>
      <c r="B17" s="1" t="s">
        <v>46</v>
      </c>
      <c r="C17" s="1">
        <v>733.85</v>
      </c>
      <c r="D17" s="1">
        <v>2.25</v>
      </c>
      <c r="E17" s="1">
        <v>736.1</v>
      </c>
      <c r="F17" s="1">
        <v>1184.68</v>
      </c>
      <c r="G17" s="1">
        <v>1.61</v>
      </c>
      <c r="H17" s="1">
        <v>1186.29</v>
      </c>
      <c r="I17" s="1">
        <v>979.18</v>
      </c>
      <c r="J17" s="1">
        <v>2.13</v>
      </c>
      <c r="K17" s="1">
        <v>981.31</v>
      </c>
      <c r="L17" s="1">
        <v>1742.84</v>
      </c>
      <c r="M17" s="1">
        <v>1.9</v>
      </c>
      <c r="N17" s="1">
        <v>1744.74</v>
      </c>
      <c r="O17">
        <v>-204.98000000000002</v>
      </c>
      <c r="P17" s="2">
        <v>-0.17279080157465701</v>
      </c>
      <c r="Q17">
        <v>763.43000000000006</v>
      </c>
      <c r="R17" s="2">
        <v>0.77797026423862004</v>
      </c>
    </row>
    <row r="18" spans="1:18">
      <c r="A18" t="s">
        <v>47</v>
      </c>
      <c r="B18" s="1" t="s">
        <v>48</v>
      </c>
      <c r="C18" s="1">
        <v>638.01</v>
      </c>
      <c r="D18" s="1">
        <v>41.9</v>
      </c>
      <c r="E18" s="1">
        <v>679.91</v>
      </c>
      <c r="F18" s="1">
        <v>11444.86</v>
      </c>
      <c r="G18" s="1">
        <v>116.33</v>
      </c>
      <c r="H18" s="1">
        <v>11561.19</v>
      </c>
      <c r="I18" s="1">
        <v>8833.06</v>
      </c>
      <c r="J18" s="1">
        <v>86.37</v>
      </c>
      <c r="K18" s="1">
        <v>8919.43</v>
      </c>
      <c r="L18" s="1">
        <v>5506.24</v>
      </c>
      <c r="M18" s="1">
        <v>55.62</v>
      </c>
      <c r="N18" s="1">
        <v>5561.86</v>
      </c>
      <c r="O18">
        <v>-2641.76</v>
      </c>
      <c r="P18" s="2">
        <v>-0.2285024292482</v>
      </c>
      <c r="Q18">
        <v>-3357.5700000000006</v>
      </c>
      <c r="R18" s="2">
        <v>-0.37643324741603401</v>
      </c>
    </row>
    <row r="19" spans="1:18">
      <c r="A19" t="s">
        <v>49</v>
      </c>
      <c r="B19" s="1" t="s">
        <v>50</v>
      </c>
      <c r="C19" s="1">
        <v>3062.47</v>
      </c>
      <c r="D19" s="1">
        <v>182.32</v>
      </c>
      <c r="E19" s="1">
        <v>3244.79</v>
      </c>
      <c r="F19" s="1">
        <v>3168.51</v>
      </c>
      <c r="G19" s="1">
        <v>192.45</v>
      </c>
      <c r="H19" s="1">
        <v>3360.96</v>
      </c>
      <c r="I19" s="1">
        <v>3357.64</v>
      </c>
      <c r="J19" s="1">
        <v>192.45</v>
      </c>
      <c r="K19" s="1">
        <v>3550.09</v>
      </c>
      <c r="L19" s="1">
        <v>3216.63</v>
      </c>
      <c r="M19" s="1">
        <v>200</v>
      </c>
      <c r="N19" s="1">
        <v>3416.63</v>
      </c>
      <c r="O19">
        <v>189.13000000000011</v>
      </c>
      <c r="P19" s="2">
        <v>5.6272612586880003E-2</v>
      </c>
      <c r="Q19">
        <v>-133.46000000000004</v>
      </c>
      <c r="R19" s="2">
        <v>-3.7593413124737698E-2</v>
      </c>
    </row>
    <row r="20" spans="1:18">
      <c r="A20" t="s">
        <v>51</v>
      </c>
      <c r="B20" s="1" t="s">
        <v>52</v>
      </c>
      <c r="C20" s="1">
        <v>16767.97</v>
      </c>
      <c r="D20" s="1">
        <v>10848.48</v>
      </c>
      <c r="E20" s="1">
        <v>27616.45</v>
      </c>
      <c r="F20" s="1">
        <v>16295.35</v>
      </c>
      <c r="G20" s="1">
        <v>12387.62</v>
      </c>
      <c r="H20" s="1">
        <v>28682.97</v>
      </c>
      <c r="I20" s="1">
        <v>16137.85</v>
      </c>
      <c r="J20" s="1">
        <v>10963.15</v>
      </c>
      <c r="K20" s="1">
        <v>27101</v>
      </c>
      <c r="L20" s="1">
        <v>16851.36</v>
      </c>
      <c r="M20" s="1">
        <v>11703.25</v>
      </c>
      <c r="N20" s="1">
        <v>28554.61</v>
      </c>
      <c r="O20">
        <v>-1581.9700000000012</v>
      </c>
      <c r="P20" s="2">
        <v>-5.5153632974548998E-2</v>
      </c>
      <c r="Q20">
        <v>1453.6100000000006</v>
      </c>
      <c r="R20" s="2">
        <v>5.3636766170990002E-2</v>
      </c>
    </row>
    <row r="21" spans="1:18">
      <c r="A21" t="s">
        <v>53</v>
      </c>
      <c r="B21" s="1" t="s">
        <v>54</v>
      </c>
      <c r="C21" s="1">
        <v>290964.51</v>
      </c>
      <c r="D21" s="1">
        <v>0</v>
      </c>
      <c r="E21" s="1">
        <v>290964.51</v>
      </c>
      <c r="F21" s="1">
        <v>311732.3</v>
      </c>
      <c r="G21" s="1">
        <v>0</v>
      </c>
      <c r="H21" s="1">
        <v>311732.3</v>
      </c>
      <c r="I21" s="1">
        <v>349770.06</v>
      </c>
      <c r="J21" s="1">
        <v>0</v>
      </c>
      <c r="K21" s="1">
        <v>349770.06</v>
      </c>
      <c r="L21" s="1">
        <v>365478.98</v>
      </c>
      <c r="M21" s="1">
        <v>0</v>
      </c>
      <c r="N21" s="1">
        <v>365478.98</v>
      </c>
      <c r="O21">
        <v>38037.760000000009</v>
      </c>
      <c r="P21" s="2">
        <v>0.12202059266877401</v>
      </c>
      <c r="Q21">
        <v>15708.919999999984</v>
      </c>
      <c r="R21" s="2">
        <v>4.4912134560630999E-2</v>
      </c>
    </row>
    <row r="22" spans="1:18">
      <c r="A22" t="s">
        <v>55</v>
      </c>
      <c r="B22" s="1" t="s">
        <v>56</v>
      </c>
      <c r="C22" s="1">
        <v>0</v>
      </c>
      <c r="D22" s="1">
        <v>159768.4</v>
      </c>
      <c r="E22" s="1">
        <v>159768.4</v>
      </c>
      <c r="F22" s="1">
        <v>0</v>
      </c>
      <c r="G22" s="1">
        <v>180000</v>
      </c>
      <c r="H22" s="1">
        <v>180000</v>
      </c>
      <c r="I22" s="1">
        <v>0</v>
      </c>
      <c r="J22" s="1">
        <v>186454.2</v>
      </c>
      <c r="K22" s="1">
        <v>186454.2</v>
      </c>
      <c r="L22" s="1">
        <v>0</v>
      </c>
      <c r="M22" s="1">
        <v>219306.47</v>
      </c>
      <c r="N22" s="1">
        <v>219306.47</v>
      </c>
      <c r="O22">
        <v>6454.2000000000116</v>
      </c>
      <c r="P22" s="2">
        <v>3.5856666666666703E-2</v>
      </c>
      <c r="Q22">
        <v>32852.26999999999</v>
      </c>
      <c r="R22" s="2">
        <v>0.17619485106798299</v>
      </c>
    </row>
    <row r="23" spans="1:18">
      <c r="A23" t="s">
        <v>57</v>
      </c>
      <c r="B23" s="1" t="s">
        <v>58</v>
      </c>
      <c r="C23" s="1">
        <v>157653.65</v>
      </c>
      <c r="D23" s="1">
        <v>0</v>
      </c>
      <c r="E23" s="1">
        <v>157653.65</v>
      </c>
      <c r="F23" s="1">
        <v>160795</v>
      </c>
      <c r="G23" s="1">
        <v>0</v>
      </c>
      <c r="H23" s="1">
        <v>160795</v>
      </c>
      <c r="I23" s="1">
        <v>169186.5</v>
      </c>
      <c r="J23" s="1">
        <v>0</v>
      </c>
      <c r="K23" s="1">
        <v>169186.5</v>
      </c>
      <c r="L23" s="1">
        <v>171338.22</v>
      </c>
      <c r="M23" s="1">
        <v>0</v>
      </c>
      <c r="N23" s="1">
        <v>171338.22</v>
      </c>
      <c r="O23">
        <v>8391.5</v>
      </c>
      <c r="P23" s="2">
        <v>5.2187568021393703E-2</v>
      </c>
      <c r="Q23">
        <v>2151.7200000000012</v>
      </c>
      <c r="R23" s="2">
        <v>1.2718036013511701E-2</v>
      </c>
    </row>
    <row r="24" spans="1:18">
      <c r="A24" t="s">
        <v>59</v>
      </c>
      <c r="B24" s="1" t="s">
        <v>60</v>
      </c>
      <c r="C24" s="1">
        <v>1047.4100000000001</v>
      </c>
      <c r="D24" s="1">
        <v>2323.21</v>
      </c>
      <c r="E24" s="1">
        <v>3370.62</v>
      </c>
      <c r="F24" s="1">
        <v>1882.76</v>
      </c>
      <c r="G24" s="1">
        <v>4032.24</v>
      </c>
      <c r="H24" s="1">
        <v>5915</v>
      </c>
      <c r="I24" s="1">
        <v>1411.79</v>
      </c>
      <c r="J24" s="1">
        <v>3067.41</v>
      </c>
      <c r="K24" s="1">
        <v>4479.2</v>
      </c>
      <c r="L24" s="1">
        <v>2247.6999999999998</v>
      </c>
      <c r="M24" s="1">
        <v>4564.6000000000004</v>
      </c>
      <c r="N24" s="1">
        <v>6812.3</v>
      </c>
      <c r="O24">
        <v>-1435.8000000000002</v>
      </c>
      <c r="P24" s="2">
        <v>-0.242738799661877</v>
      </c>
      <c r="Q24">
        <v>2333.1000000000004</v>
      </c>
      <c r="R24" s="2">
        <v>0.52087426326129704</v>
      </c>
    </row>
    <row r="25" spans="1:18">
      <c r="A25" t="s">
        <v>61</v>
      </c>
      <c r="B25" s="1" t="s">
        <v>62</v>
      </c>
      <c r="C25" s="1">
        <v>2371.84</v>
      </c>
      <c r="D25" s="1">
        <v>999.33</v>
      </c>
      <c r="E25" s="1">
        <v>3371.17</v>
      </c>
      <c r="F25" s="1">
        <v>2770.78</v>
      </c>
      <c r="G25" s="1">
        <v>879.03</v>
      </c>
      <c r="H25" s="1">
        <v>3649.81</v>
      </c>
      <c r="I25" s="1">
        <v>2901.65</v>
      </c>
      <c r="J25" s="1">
        <v>478.35</v>
      </c>
      <c r="K25" s="1">
        <v>3380</v>
      </c>
      <c r="L25" s="1">
        <v>3073.19</v>
      </c>
      <c r="M25" s="1">
        <v>716.04</v>
      </c>
      <c r="N25" s="1">
        <v>3789.23</v>
      </c>
      <c r="O25">
        <v>-269.80999999999995</v>
      </c>
      <c r="P25" s="2">
        <v>-7.3924396064452599E-2</v>
      </c>
      <c r="Q25">
        <v>409.23</v>
      </c>
      <c r="R25" s="2">
        <v>0.121073964497041</v>
      </c>
    </row>
    <row r="26" spans="1:18">
      <c r="A26" t="s">
        <v>63</v>
      </c>
      <c r="B26" s="1" t="s">
        <v>64</v>
      </c>
      <c r="C26" s="1">
        <v>65159</v>
      </c>
      <c r="D26" s="1">
        <v>0.25</v>
      </c>
      <c r="E26" s="1">
        <v>65159.25</v>
      </c>
      <c r="F26" s="1">
        <v>78571.3</v>
      </c>
      <c r="G26" s="1">
        <v>0.8</v>
      </c>
      <c r="H26" s="1">
        <v>78572.100000000006</v>
      </c>
      <c r="I26" s="1">
        <v>70566.34</v>
      </c>
      <c r="J26" s="1">
        <v>0.8</v>
      </c>
      <c r="K26" s="1">
        <v>70567.14</v>
      </c>
      <c r="L26" s="1">
        <v>83561.41</v>
      </c>
      <c r="M26" s="1">
        <v>0.85</v>
      </c>
      <c r="N26" s="1">
        <v>83562.259999999995</v>
      </c>
      <c r="O26">
        <v>-8004.9600000000064</v>
      </c>
      <c r="P26" s="2">
        <v>-0.101880438476253</v>
      </c>
      <c r="Q26">
        <v>12995.119999999995</v>
      </c>
      <c r="R26" s="2">
        <v>0.184152567328079</v>
      </c>
    </row>
    <row r="27" spans="1:18">
      <c r="A27" t="s">
        <v>65</v>
      </c>
      <c r="B27" s="1" t="s">
        <v>66</v>
      </c>
      <c r="C27" s="1">
        <v>45571.68</v>
      </c>
      <c r="D27" s="1">
        <v>4.84</v>
      </c>
      <c r="E27" s="1">
        <v>45576.52</v>
      </c>
      <c r="F27" s="1">
        <v>50067.68</v>
      </c>
      <c r="G27" s="1">
        <v>10.27</v>
      </c>
      <c r="H27" s="1">
        <v>50077.95</v>
      </c>
      <c r="I27" s="1">
        <v>51371.4</v>
      </c>
      <c r="J27" s="1">
        <v>10.27</v>
      </c>
      <c r="K27" s="1">
        <v>51381.67</v>
      </c>
      <c r="L27" s="1">
        <v>55724.54</v>
      </c>
      <c r="M27" s="1">
        <v>2.68</v>
      </c>
      <c r="N27" s="1">
        <v>55727.22</v>
      </c>
      <c r="O27">
        <v>1303.7200000000012</v>
      </c>
      <c r="P27" s="2">
        <v>2.6033813285088601E-2</v>
      </c>
      <c r="Q27">
        <v>4345.5500000000029</v>
      </c>
      <c r="R27" s="2">
        <v>8.4573934634666503E-2</v>
      </c>
    </row>
    <row r="28" spans="1:18">
      <c r="A28" t="s">
        <v>67</v>
      </c>
      <c r="B28" s="1" t="s">
        <v>68</v>
      </c>
      <c r="C28" s="1">
        <v>13335.47</v>
      </c>
      <c r="D28" s="1">
        <v>325.83999999999997</v>
      </c>
      <c r="E28" s="1">
        <v>13661.31</v>
      </c>
      <c r="F28" s="1">
        <v>25583.11</v>
      </c>
      <c r="G28" s="1">
        <v>443.14</v>
      </c>
      <c r="H28" s="1">
        <v>26026.25</v>
      </c>
      <c r="I28" s="1">
        <v>19846.32</v>
      </c>
      <c r="J28" s="1">
        <v>386.63</v>
      </c>
      <c r="K28" s="1">
        <v>20232.95</v>
      </c>
      <c r="L28" s="1">
        <v>21234.15</v>
      </c>
      <c r="M28" s="1">
        <v>398.81</v>
      </c>
      <c r="N28" s="1">
        <v>21632.959999999999</v>
      </c>
      <c r="O28">
        <v>-5793.2999999999993</v>
      </c>
      <c r="P28" s="2">
        <v>-0.222594495941597</v>
      </c>
      <c r="Q28">
        <v>1400.0099999999984</v>
      </c>
      <c r="R28" s="2">
        <v>6.9194556404281002E-2</v>
      </c>
    </row>
    <row r="29" spans="1:18">
      <c r="A29" t="s">
        <v>69</v>
      </c>
      <c r="B29" s="1" t="s">
        <v>70</v>
      </c>
      <c r="C29" s="1">
        <v>2130.61</v>
      </c>
      <c r="D29" s="1">
        <v>89.09</v>
      </c>
      <c r="E29" s="1">
        <v>2219.6999999999998</v>
      </c>
      <c r="F29" s="1">
        <v>3276.82</v>
      </c>
      <c r="G29" s="1">
        <v>136</v>
      </c>
      <c r="H29" s="1">
        <v>3412.82</v>
      </c>
      <c r="I29" s="1">
        <v>3307.22</v>
      </c>
      <c r="J29" s="1">
        <v>174.39</v>
      </c>
      <c r="K29" s="1">
        <v>3481.61</v>
      </c>
      <c r="L29" s="1">
        <v>3536.66</v>
      </c>
      <c r="M29" s="1">
        <v>222.8</v>
      </c>
      <c r="N29" s="1">
        <v>3759.46</v>
      </c>
      <c r="O29">
        <v>68.789999999999964</v>
      </c>
      <c r="P29" s="2">
        <v>2.0156351638820701E-2</v>
      </c>
      <c r="Q29">
        <v>277.84999999999991</v>
      </c>
      <c r="R29" s="2">
        <v>7.9805032729110895E-2</v>
      </c>
    </row>
    <row r="30" spans="1:18">
      <c r="A30" t="s">
        <v>71</v>
      </c>
      <c r="B30" s="1" t="s">
        <v>72</v>
      </c>
      <c r="C30" s="1">
        <v>23908.89</v>
      </c>
      <c r="D30" s="1">
        <v>1603.48</v>
      </c>
      <c r="E30" s="1">
        <v>25512.37</v>
      </c>
      <c r="F30" s="1">
        <v>19519.73</v>
      </c>
      <c r="G30" s="1">
        <v>996.88</v>
      </c>
      <c r="H30" s="1">
        <v>20516.61</v>
      </c>
      <c r="I30" s="1">
        <v>20745.86</v>
      </c>
      <c r="J30" s="1">
        <v>996.88</v>
      </c>
      <c r="K30" s="1">
        <v>21742.74</v>
      </c>
      <c r="L30" s="1">
        <v>20706.2</v>
      </c>
      <c r="M30" s="1">
        <v>1412.77</v>
      </c>
      <c r="N30" s="1">
        <v>22118.97</v>
      </c>
      <c r="O30">
        <v>1226.130000000001</v>
      </c>
      <c r="P30" s="2">
        <v>5.9762797070276298E-2</v>
      </c>
      <c r="Q30">
        <v>376.22999999999956</v>
      </c>
      <c r="R30" s="2">
        <v>1.73037068925075E-2</v>
      </c>
    </row>
    <row r="31" spans="1:18">
      <c r="A31" t="s">
        <v>73</v>
      </c>
      <c r="B31" s="1" t="s">
        <v>74</v>
      </c>
      <c r="C31" s="1">
        <v>43274.82</v>
      </c>
      <c r="D31" s="1">
        <v>10051.36</v>
      </c>
      <c r="E31" s="1">
        <v>53326.18</v>
      </c>
      <c r="F31" s="1">
        <v>2400.2399999999998</v>
      </c>
      <c r="G31" s="1">
        <v>46613.63</v>
      </c>
      <c r="H31" s="1">
        <v>49013.87</v>
      </c>
      <c r="I31" s="1">
        <v>59845.19</v>
      </c>
      <c r="J31" s="1">
        <v>70799.679999999993</v>
      </c>
      <c r="K31" s="1">
        <v>130644.87</v>
      </c>
      <c r="L31" s="1">
        <v>4249.6499999999996</v>
      </c>
      <c r="M31" s="1">
        <v>16309.46</v>
      </c>
      <c r="N31" s="1">
        <v>20559.11</v>
      </c>
      <c r="O31">
        <v>81631</v>
      </c>
      <c r="P31" s="2">
        <v>1.6654673462838201</v>
      </c>
      <c r="Q31">
        <v>-110085.75999999999</v>
      </c>
      <c r="R31" s="2">
        <v>-0.84263362197076697</v>
      </c>
    </row>
    <row r="32" spans="1:18">
      <c r="A32" t="s">
        <v>75</v>
      </c>
      <c r="B32" s="1" t="s">
        <v>76</v>
      </c>
      <c r="C32" s="1">
        <v>439.37</v>
      </c>
      <c r="D32" s="1">
        <v>47.48</v>
      </c>
      <c r="E32" s="1">
        <v>486.85</v>
      </c>
      <c r="F32" s="1">
        <v>540.52</v>
      </c>
      <c r="G32" s="1">
        <v>63.31</v>
      </c>
      <c r="H32" s="1">
        <v>603.83000000000004</v>
      </c>
      <c r="I32" s="1">
        <v>449.16</v>
      </c>
      <c r="J32" s="1">
        <v>61.71</v>
      </c>
      <c r="K32" s="1">
        <v>510.87</v>
      </c>
      <c r="L32" s="1">
        <v>451.4</v>
      </c>
      <c r="M32" s="1">
        <v>74.13</v>
      </c>
      <c r="N32" s="1">
        <v>525.53</v>
      </c>
      <c r="O32">
        <v>-92.960000000000036</v>
      </c>
      <c r="P32" s="2">
        <v>-0.15395061523938899</v>
      </c>
      <c r="Q32">
        <v>14.659999999999968</v>
      </c>
      <c r="R32" s="2">
        <v>2.8696145790514199E-2</v>
      </c>
    </row>
    <row r="33" spans="1:18">
      <c r="A33" t="s">
        <v>77</v>
      </c>
      <c r="B33" s="1" t="s">
        <v>78</v>
      </c>
      <c r="C33" s="1">
        <v>3161.78</v>
      </c>
      <c r="D33" s="1">
        <v>523.37</v>
      </c>
      <c r="E33" s="1">
        <v>3685.15</v>
      </c>
      <c r="F33" s="1">
        <v>1620.01</v>
      </c>
      <c r="G33" s="1">
        <v>68.13</v>
      </c>
      <c r="H33" s="1">
        <v>1688.14</v>
      </c>
      <c r="I33" s="1">
        <v>3641.84</v>
      </c>
      <c r="J33" s="1">
        <v>54.79</v>
      </c>
      <c r="K33" s="1">
        <v>3696.63</v>
      </c>
      <c r="L33" s="1">
        <v>3686.99</v>
      </c>
      <c r="M33" s="1">
        <v>59.96</v>
      </c>
      <c r="N33" s="1">
        <v>3746.95</v>
      </c>
      <c r="O33">
        <v>2008.49</v>
      </c>
      <c r="P33" s="2">
        <v>1.1897650668783399</v>
      </c>
      <c r="Q33">
        <v>50.319999999999709</v>
      </c>
      <c r="R33" s="2">
        <v>1.36123983195504E-2</v>
      </c>
    </row>
    <row r="34" spans="1:18">
      <c r="A34" t="s">
        <v>79</v>
      </c>
      <c r="B34" s="1" t="s">
        <v>80</v>
      </c>
      <c r="C34" s="1">
        <v>21.17</v>
      </c>
      <c r="D34" s="1">
        <v>0.64</v>
      </c>
      <c r="E34" s="1">
        <v>21.81</v>
      </c>
      <c r="F34" s="1">
        <v>28.6</v>
      </c>
      <c r="G34" s="1">
        <v>0.56999999999999995</v>
      </c>
      <c r="H34" s="1">
        <v>29.17</v>
      </c>
      <c r="I34" s="1">
        <v>26.69</v>
      </c>
      <c r="J34" s="1">
        <v>0.56999999999999995</v>
      </c>
      <c r="K34" s="1">
        <v>27.26</v>
      </c>
      <c r="L34" s="1">
        <v>28.94</v>
      </c>
      <c r="M34" s="1">
        <v>0.66</v>
      </c>
      <c r="N34" s="1">
        <v>29.6</v>
      </c>
      <c r="O34">
        <v>-1.9100000000000001</v>
      </c>
      <c r="P34" s="2">
        <v>-6.5478231059307501E-2</v>
      </c>
      <c r="Q34">
        <v>2.34</v>
      </c>
      <c r="R34" s="2">
        <v>8.5840058694057197E-2</v>
      </c>
    </row>
    <row r="35" spans="1:18">
      <c r="A35" t="s">
        <v>81</v>
      </c>
      <c r="B35" s="1" t="s">
        <v>82</v>
      </c>
      <c r="C35" s="1">
        <v>37.96</v>
      </c>
      <c r="D35" s="1">
        <v>0.79</v>
      </c>
      <c r="E35" s="1">
        <v>38.75</v>
      </c>
      <c r="F35" s="1">
        <v>55.43</v>
      </c>
      <c r="G35" s="1">
        <v>1.7</v>
      </c>
      <c r="H35" s="1">
        <v>57.13</v>
      </c>
      <c r="I35" s="1">
        <v>33.11</v>
      </c>
      <c r="J35" s="1">
        <v>0.6</v>
      </c>
      <c r="K35" s="1">
        <v>33.71</v>
      </c>
      <c r="L35" s="1">
        <v>54.25</v>
      </c>
      <c r="M35" s="1">
        <v>1.67</v>
      </c>
      <c r="N35" s="1">
        <v>55.92</v>
      </c>
      <c r="O35">
        <v>-23.42</v>
      </c>
      <c r="P35" s="2">
        <v>-0.40994223700332599</v>
      </c>
      <c r="Q35">
        <v>22.21</v>
      </c>
      <c r="R35" s="2">
        <v>0.65885493918718496</v>
      </c>
    </row>
    <row r="36" spans="1:18">
      <c r="A36" t="s">
        <v>83</v>
      </c>
      <c r="B36" s="1" t="s">
        <v>84</v>
      </c>
      <c r="C36" s="1">
        <v>152087.54</v>
      </c>
      <c r="D36" s="1">
        <v>449.68</v>
      </c>
      <c r="E36" s="1">
        <v>152537.22</v>
      </c>
      <c r="F36" s="1">
        <v>132235.12</v>
      </c>
      <c r="G36" s="1">
        <v>609.24</v>
      </c>
      <c r="H36" s="1">
        <v>132844.35999999999</v>
      </c>
      <c r="I36" s="1">
        <v>19740.849999999999</v>
      </c>
      <c r="J36" s="1">
        <v>572.88</v>
      </c>
      <c r="K36" s="1">
        <v>20313.73</v>
      </c>
      <c r="L36" s="1">
        <v>1915.31</v>
      </c>
      <c r="M36" s="1">
        <v>597.71</v>
      </c>
      <c r="N36" s="1">
        <v>2513.02</v>
      </c>
      <c r="O36">
        <v>-112530.62999999999</v>
      </c>
      <c r="P36" s="2">
        <v>-0.84708624438403002</v>
      </c>
      <c r="Q36">
        <v>-17800.71</v>
      </c>
      <c r="R36" s="2">
        <v>-0.87628958344922403</v>
      </c>
    </row>
    <row r="37" spans="1:18">
      <c r="A37" t="s">
        <v>85</v>
      </c>
      <c r="B37" s="1" t="s">
        <v>86</v>
      </c>
      <c r="C37" s="1">
        <v>9135.5499999999993</v>
      </c>
      <c r="D37" s="1">
        <v>2297.25</v>
      </c>
      <c r="E37" s="1">
        <v>11432.8</v>
      </c>
      <c r="F37" s="1">
        <v>9473.2900000000009</v>
      </c>
      <c r="G37" s="1">
        <v>1425.16</v>
      </c>
      <c r="H37" s="1">
        <v>10898.45</v>
      </c>
      <c r="I37" s="1">
        <v>10665.52</v>
      </c>
      <c r="J37" s="1">
        <v>2064.56</v>
      </c>
      <c r="K37" s="1">
        <v>12730.08</v>
      </c>
      <c r="L37" s="1">
        <v>10320.120000000001</v>
      </c>
      <c r="M37" s="1">
        <v>4984.45</v>
      </c>
      <c r="N37" s="1">
        <v>15304.57</v>
      </c>
      <c r="O37">
        <v>1831.6299999999992</v>
      </c>
      <c r="P37" s="2">
        <v>0.16806334845780799</v>
      </c>
      <c r="Q37">
        <v>2574.4899999999998</v>
      </c>
      <c r="R37" s="2">
        <v>0.20223674949411199</v>
      </c>
    </row>
    <row r="38" spans="1:18">
      <c r="A38" t="s">
        <v>87</v>
      </c>
      <c r="B38" s="1" t="s">
        <v>88</v>
      </c>
      <c r="C38" s="1">
        <v>37029.9</v>
      </c>
      <c r="D38" s="1">
        <v>1771.72</v>
      </c>
      <c r="E38" s="1">
        <v>38801.620000000003</v>
      </c>
      <c r="F38" s="1">
        <v>40904.230000000003</v>
      </c>
      <c r="G38" s="1">
        <v>1984.6</v>
      </c>
      <c r="H38" s="1">
        <v>42888.83</v>
      </c>
      <c r="I38" s="1">
        <v>38905.94</v>
      </c>
      <c r="J38" s="1">
        <v>2590.2800000000002</v>
      </c>
      <c r="K38" s="1">
        <v>41496.22</v>
      </c>
      <c r="L38" s="1">
        <v>26076.63</v>
      </c>
      <c r="M38" s="1">
        <v>1606</v>
      </c>
      <c r="N38" s="1">
        <v>27682.63</v>
      </c>
      <c r="O38">
        <v>-1392.6100000000006</v>
      </c>
      <c r="P38" s="2">
        <v>-3.2470225930621099E-2</v>
      </c>
      <c r="Q38">
        <v>-13813.59</v>
      </c>
      <c r="R38" s="2">
        <v>-0.332887911236252</v>
      </c>
    </row>
    <row r="39" spans="1:18">
      <c r="A39" t="s">
        <v>89</v>
      </c>
      <c r="B39" s="1" t="s">
        <v>90</v>
      </c>
      <c r="C39" s="1">
        <v>6045.06</v>
      </c>
      <c r="D39" s="1">
        <v>152.35</v>
      </c>
      <c r="E39" s="1">
        <v>6197.41</v>
      </c>
      <c r="F39" s="1">
        <v>6238.41</v>
      </c>
      <c r="G39" s="1">
        <v>172.61</v>
      </c>
      <c r="H39" s="1">
        <v>6411.02</v>
      </c>
      <c r="I39" s="1">
        <v>6146</v>
      </c>
      <c r="J39" s="1">
        <v>539.09</v>
      </c>
      <c r="K39" s="1">
        <v>6685.09</v>
      </c>
      <c r="L39" s="1">
        <v>6270.19</v>
      </c>
      <c r="M39" s="1">
        <v>166.65</v>
      </c>
      <c r="N39" s="1">
        <v>6436.84</v>
      </c>
      <c r="O39">
        <v>274.06999999999971</v>
      </c>
      <c r="P39" s="2">
        <v>4.2749827640531403E-2</v>
      </c>
      <c r="Q39">
        <v>-248.25</v>
      </c>
      <c r="R39" s="2">
        <v>-3.7134877765295601E-2</v>
      </c>
    </row>
    <row r="40" spans="1:18">
      <c r="A40" t="s">
        <v>91</v>
      </c>
      <c r="B40" s="1" t="s">
        <v>92</v>
      </c>
      <c r="C40" s="1">
        <v>1115574.6000000001</v>
      </c>
      <c r="D40" s="1">
        <v>0</v>
      </c>
      <c r="E40" s="1">
        <v>1115574.6000000001</v>
      </c>
      <c r="F40" s="1">
        <v>1276337.98</v>
      </c>
      <c r="G40" s="1">
        <v>0</v>
      </c>
      <c r="H40" s="1">
        <v>1276337.98</v>
      </c>
      <c r="I40" s="1">
        <v>1274338</v>
      </c>
      <c r="J40" s="1">
        <v>0</v>
      </c>
      <c r="K40" s="1">
        <v>1274338</v>
      </c>
      <c r="L40" s="1">
        <v>1403971.79</v>
      </c>
      <c r="M40" s="1">
        <v>0</v>
      </c>
      <c r="N40" s="1">
        <v>1403971.79</v>
      </c>
      <c r="O40">
        <v>-1999.9799999999814</v>
      </c>
      <c r="P40" s="2">
        <v>-1.5669673952662499E-3</v>
      </c>
      <c r="Q40">
        <v>129633.79000000004</v>
      </c>
      <c r="R40" s="2">
        <v>0.101726378715851</v>
      </c>
    </row>
    <row r="41" spans="1:18">
      <c r="A41" t="s">
        <v>93</v>
      </c>
      <c r="B41" s="1" t="s">
        <v>94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>
        <v>0</v>
      </c>
      <c r="Q41">
        <v>0</v>
      </c>
    </row>
    <row r="42" spans="1:18">
      <c r="A42" t="s">
        <v>95</v>
      </c>
      <c r="B42" s="1" t="s">
        <v>96</v>
      </c>
      <c r="C42" s="1">
        <v>92279.49</v>
      </c>
      <c r="D42" s="1">
        <v>0</v>
      </c>
      <c r="E42" s="1">
        <v>92279.49</v>
      </c>
      <c r="F42" s="1">
        <v>90186</v>
      </c>
      <c r="G42" s="1">
        <v>0</v>
      </c>
      <c r="H42" s="1">
        <v>90186</v>
      </c>
      <c r="I42" s="1">
        <v>91906</v>
      </c>
      <c r="J42" s="1">
        <v>0</v>
      </c>
      <c r="K42" s="1">
        <v>91906</v>
      </c>
      <c r="L42" s="1">
        <v>97500</v>
      </c>
      <c r="M42" s="1">
        <v>0</v>
      </c>
      <c r="N42" s="1">
        <v>97500</v>
      </c>
      <c r="O42">
        <v>1720</v>
      </c>
      <c r="P42" s="2">
        <v>1.9071696272148699E-2</v>
      </c>
      <c r="Q42">
        <v>5594</v>
      </c>
      <c r="R42" s="2">
        <v>6.08665375492351E-2</v>
      </c>
    </row>
    <row r="43" spans="1:18">
      <c r="A43" t="s">
        <v>97</v>
      </c>
      <c r="B43" s="1" t="s">
        <v>98</v>
      </c>
      <c r="C43" s="1">
        <v>133254.06</v>
      </c>
      <c r="D43" s="1">
        <v>165701.16</v>
      </c>
      <c r="E43" s="1">
        <v>298955.21999999997</v>
      </c>
      <c r="F43" s="1">
        <v>157447.01</v>
      </c>
      <c r="G43" s="1">
        <v>170595.47</v>
      </c>
      <c r="H43" s="1">
        <v>328042.48</v>
      </c>
      <c r="I43" s="1">
        <v>181529.01</v>
      </c>
      <c r="J43" s="1">
        <v>174953.29</v>
      </c>
      <c r="K43" s="1">
        <v>356482.3</v>
      </c>
      <c r="L43" s="1">
        <v>167801.61</v>
      </c>
      <c r="M43" s="1">
        <v>226381.91</v>
      </c>
      <c r="N43" s="1">
        <v>394183.52</v>
      </c>
      <c r="O43">
        <v>28439.820000000007</v>
      </c>
      <c r="P43" s="2">
        <v>8.6695540162969195E-2</v>
      </c>
      <c r="Q43">
        <v>37701.22000000003</v>
      </c>
      <c r="R43" s="2">
        <v>0.1057590236598</v>
      </c>
    </row>
    <row r="44" spans="1:18">
      <c r="A44" t="s">
        <v>99</v>
      </c>
      <c r="B44" s="1" t="s">
        <v>100</v>
      </c>
      <c r="C44" s="1">
        <v>1019.71</v>
      </c>
      <c r="D44" s="1">
        <v>5.28</v>
      </c>
      <c r="E44" s="1">
        <v>1024.99</v>
      </c>
      <c r="F44" s="1">
        <v>2681.05</v>
      </c>
      <c r="G44" s="1">
        <v>22.62</v>
      </c>
      <c r="H44" s="1">
        <v>2703.67</v>
      </c>
      <c r="I44" s="1">
        <v>1723.13</v>
      </c>
      <c r="J44" s="1">
        <v>9.82</v>
      </c>
      <c r="K44" s="1">
        <v>1732.95</v>
      </c>
      <c r="L44" s="1">
        <v>2732.27</v>
      </c>
      <c r="M44" s="1">
        <v>29.53</v>
      </c>
      <c r="N44" s="1">
        <v>2761.8</v>
      </c>
      <c r="O44">
        <v>-970.72</v>
      </c>
      <c r="P44" s="2">
        <v>-0.35903790033547001</v>
      </c>
      <c r="Q44">
        <v>1028.8500000000001</v>
      </c>
      <c r="R44" s="2">
        <v>0.59369860642257399</v>
      </c>
    </row>
    <row r="45" spans="1:18">
      <c r="A45" t="s">
        <v>101</v>
      </c>
      <c r="B45" s="1" t="s">
        <v>102</v>
      </c>
      <c r="C45" s="1">
        <v>2763.31</v>
      </c>
      <c r="D45" s="1">
        <v>198.01</v>
      </c>
      <c r="E45" s="1">
        <v>2961.32</v>
      </c>
      <c r="F45" s="1">
        <v>4254.45</v>
      </c>
      <c r="G45" s="1">
        <v>585.95000000000005</v>
      </c>
      <c r="H45" s="1">
        <v>4840.3999999999996</v>
      </c>
      <c r="I45" s="1">
        <v>4650.4399999999996</v>
      </c>
      <c r="J45" s="1">
        <v>652.39</v>
      </c>
      <c r="K45" s="1">
        <v>5302.83</v>
      </c>
      <c r="L45" s="1">
        <v>5705.95</v>
      </c>
      <c r="M45" s="1">
        <v>447.51</v>
      </c>
      <c r="N45" s="1">
        <v>6153.46</v>
      </c>
      <c r="O45">
        <v>462.43000000000029</v>
      </c>
      <c r="P45" s="2">
        <v>9.5535492934468294E-2</v>
      </c>
      <c r="Q45">
        <v>850.63000000000011</v>
      </c>
      <c r="R45" s="2">
        <v>0.16041057322222299</v>
      </c>
    </row>
    <row r="46" spans="1:18">
      <c r="A46" t="s">
        <v>103</v>
      </c>
      <c r="B46" s="1" t="s">
        <v>104</v>
      </c>
      <c r="C46" s="1">
        <v>2302.09</v>
      </c>
      <c r="D46" s="1">
        <v>1.98</v>
      </c>
      <c r="E46" s="1">
        <v>2304.0700000000002</v>
      </c>
      <c r="F46" s="1">
        <v>4361.58</v>
      </c>
      <c r="G46" s="1">
        <v>2.64</v>
      </c>
      <c r="H46" s="1">
        <v>4364.22</v>
      </c>
      <c r="I46" s="1">
        <v>3569.23</v>
      </c>
      <c r="J46" s="1">
        <v>2.34</v>
      </c>
      <c r="K46" s="1">
        <v>3571.57</v>
      </c>
      <c r="L46" s="1">
        <v>4061.43</v>
      </c>
      <c r="M46" s="1">
        <v>2.73</v>
      </c>
      <c r="N46" s="1">
        <v>4064.16</v>
      </c>
      <c r="O46">
        <v>-792.65000000000009</v>
      </c>
      <c r="P46" s="2">
        <v>-0.18162466603425101</v>
      </c>
      <c r="Q46">
        <v>492.58999999999969</v>
      </c>
      <c r="R46" s="2">
        <v>0.13791973837836</v>
      </c>
    </row>
    <row r="47" spans="1:18">
      <c r="A47" t="s">
        <v>105</v>
      </c>
      <c r="B47" s="1" t="s">
        <v>106</v>
      </c>
      <c r="C47" s="1">
        <v>84974.51</v>
      </c>
      <c r="D47" s="1">
        <v>2325.66</v>
      </c>
      <c r="E47" s="1">
        <v>87300.17</v>
      </c>
      <c r="F47" s="1">
        <v>92333.43</v>
      </c>
      <c r="G47" s="1">
        <v>3624.44</v>
      </c>
      <c r="H47" s="1">
        <v>95957.87</v>
      </c>
      <c r="I47" s="1">
        <v>90488.04</v>
      </c>
      <c r="J47" s="1">
        <v>2437.8200000000002</v>
      </c>
      <c r="K47" s="1">
        <v>92925.86</v>
      </c>
      <c r="L47" s="1">
        <v>98780.91</v>
      </c>
      <c r="M47" s="1">
        <v>2928.3</v>
      </c>
      <c r="N47" s="1">
        <v>101709.21</v>
      </c>
      <c r="O47">
        <v>-3032.0099999999948</v>
      </c>
      <c r="P47" s="2">
        <v>-3.1597304108563401E-2</v>
      </c>
      <c r="Q47">
        <v>8783.3500000000058</v>
      </c>
      <c r="R47" s="2">
        <v>9.4519975386830005E-2</v>
      </c>
    </row>
    <row r="48" spans="1:18">
      <c r="A48" t="s">
        <v>107</v>
      </c>
      <c r="B48" s="1" t="s">
        <v>108</v>
      </c>
      <c r="C48" s="1">
        <v>3382.98</v>
      </c>
      <c r="D48" s="1">
        <v>0.95</v>
      </c>
      <c r="E48" s="1">
        <v>3383.93</v>
      </c>
      <c r="F48" s="1">
        <v>3899.43</v>
      </c>
      <c r="G48" s="1">
        <v>1.26</v>
      </c>
      <c r="H48" s="1">
        <v>3900.69</v>
      </c>
      <c r="I48" s="1">
        <v>3926.17</v>
      </c>
      <c r="J48" s="1">
        <v>1.47</v>
      </c>
      <c r="K48" s="1">
        <v>3927.64</v>
      </c>
      <c r="L48" s="1">
        <v>4819.3999999999996</v>
      </c>
      <c r="M48" s="1">
        <v>1.81</v>
      </c>
      <c r="N48" s="1">
        <v>4821.21</v>
      </c>
      <c r="O48">
        <v>26.949999999999818</v>
      </c>
      <c r="P48" s="2">
        <v>6.9090340426949601E-3</v>
      </c>
      <c r="Q48">
        <v>893.57000000000016</v>
      </c>
      <c r="R48" s="2">
        <v>0.22750812192563499</v>
      </c>
    </row>
    <row r="49" spans="1:18">
      <c r="A49" t="s">
        <v>109</v>
      </c>
      <c r="B49" s="1" t="s">
        <v>110</v>
      </c>
      <c r="C49" s="1">
        <v>2646.42</v>
      </c>
      <c r="D49" s="1">
        <v>1.55</v>
      </c>
      <c r="E49" s="1">
        <v>2647.97</v>
      </c>
      <c r="F49" s="1">
        <v>7178.23</v>
      </c>
      <c r="G49" s="1">
        <v>502</v>
      </c>
      <c r="H49" s="1">
        <v>7680.23</v>
      </c>
      <c r="I49" s="1">
        <v>4791.2700000000004</v>
      </c>
      <c r="J49" s="1">
        <v>502.58</v>
      </c>
      <c r="K49" s="1">
        <v>5293.85</v>
      </c>
      <c r="L49" s="1">
        <v>7937.08</v>
      </c>
      <c r="M49" s="1">
        <v>2.82</v>
      </c>
      <c r="N49" s="1">
        <v>7939.9</v>
      </c>
      <c r="O49">
        <v>-2386.3799999999992</v>
      </c>
      <c r="P49" s="2">
        <v>-0.31071725716547499</v>
      </c>
      <c r="Q49">
        <v>2646.0499999999993</v>
      </c>
      <c r="R49" s="2">
        <v>0.49983471386609002</v>
      </c>
    </row>
    <row r="50" spans="1:18">
      <c r="A50" t="s">
        <v>111</v>
      </c>
      <c r="B50" s="1" t="s">
        <v>112</v>
      </c>
      <c r="C50" s="1">
        <v>5402.82</v>
      </c>
      <c r="D50" s="1">
        <v>269.63</v>
      </c>
      <c r="E50" s="1">
        <v>5672.45</v>
      </c>
      <c r="F50" s="1">
        <v>4161.22</v>
      </c>
      <c r="G50" s="1">
        <v>395.97</v>
      </c>
      <c r="H50" s="1">
        <v>4557.1899999999996</v>
      </c>
      <c r="I50" s="1">
        <v>7199.71</v>
      </c>
      <c r="J50" s="1">
        <v>280.44</v>
      </c>
      <c r="K50" s="1">
        <v>7480.15</v>
      </c>
      <c r="L50" s="1">
        <v>9878.5400000000009</v>
      </c>
      <c r="M50" s="1">
        <v>508.81</v>
      </c>
      <c r="N50" s="1">
        <v>10387.35</v>
      </c>
      <c r="O50">
        <v>2922.96</v>
      </c>
      <c r="P50" s="2">
        <v>0.64139524575451101</v>
      </c>
      <c r="Q50">
        <v>2907.2000000000007</v>
      </c>
      <c r="R50" s="2">
        <v>0.38865530771441797</v>
      </c>
    </row>
    <row r="51" spans="1:18">
      <c r="A51" t="s">
        <v>113</v>
      </c>
      <c r="B51" s="1" t="s">
        <v>114</v>
      </c>
      <c r="C51" s="1">
        <v>643.78</v>
      </c>
      <c r="D51" s="1">
        <v>317.17</v>
      </c>
      <c r="E51" s="1">
        <v>960.95</v>
      </c>
      <c r="F51" s="1">
        <v>765.72</v>
      </c>
      <c r="G51" s="1">
        <v>258.58</v>
      </c>
      <c r="H51" s="1">
        <v>1024.3</v>
      </c>
      <c r="I51" s="1">
        <v>803.02</v>
      </c>
      <c r="J51" s="1">
        <v>175.18</v>
      </c>
      <c r="K51" s="1">
        <v>978.2</v>
      </c>
      <c r="L51" s="1">
        <v>992.32</v>
      </c>
      <c r="M51" s="1">
        <v>109.68</v>
      </c>
      <c r="N51" s="1">
        <v>1102</v>
      </c>
      <c r="O51">
        <v>-46.099999999999909</v>
      </c>
      <c r="P51" s="2">
        <v>-4.5006345797129699E-2</v>
      </c>
      <c r="Q51">
        <v>123.79999999999995</v>
      </c>
      <c r="R51" s="2">
        <v>0.12655898589245501</v>
      </c>
    </row>
    <row r="52" spans="1:18">
      <c r="A52" t="s">
        <v>115</v>
      </c>
      <c r="B52" s="1" t="s">
        <v>116</v>
      </c>
      <c r="C52" s="1">
        <v>135073.72</v>
      </c>
      <c r="D52" s="1">
        <v>11561.1</v>
      </c>
      <c r="E52" s="1">
        <v>146634.82</v>
      </c>
      <c r="F52" s="1">
        <v>143811.87</v>
      </c>
      <c r="G52" s="1">
        <v>16579.189999999999</v>
      </c>
      <c r="H52" s="1">
        <v>160391.06</v>
      </c>
      <c r="I52" s="1">
        <v>146262.78</v>
      </c>
      <c r="J52" s="1">
        <v>16020.61</v>
      </c>
      <c r="K52" s="1">
        <v>162283.39000000001</v>
      </c>
      <c r="L52" s="1">
        <v>152530.06</v>
      </c>
      <c r="M52" s="1">
        <v>21272.47</v>
      </c>
      <c r="N52" s="1">
        <v>173802.53</v>
      </c>
      <c r="O52">
        <v>1892.3300000000163</v>
      </c>
      <c r="P52" s="2">
        <v>1.1798226160485601E-2</v>
      </c>
      <c r="Q52">
        <v>11519.139999999985</v>
      </c>
      <c r="R52" s="2">
        <v>7.0981632809124701E-2</v>
      </c>
    </row>
    <row r="53" spans="1:18">
      <c r="A53" t="s">
        <v>117</v>
      </c>
      <c r="B53" s="1" t="s">
        <v>118</v>
      </c>
      <c r="C53" s="1">
        <v>5539.36</v>
      </c>
      <c r="D53" s="1">
        <v>401.96</v>
      </c>
      <c r="E53" s="1">
        <v>5941.32</v>
      </c>
      <c r="F53" s="1">
        <v>5656.98</v>
      </c>
      <c r="G53" s="1">
        <v>555.08000000000004</v>
      </c>
      <c r="H53" s="1">
        <v>6212.06</v>
      </c>
      <c r="I53" s="1">
        <v>6918.88</v>
      </c>
      <c r="J53" s="1">
        <v>469.01</v>
      </c>
      <c r="K53" s="1">
        <v>7387.89</v>
      </c>
      <c r="L53" s="1">
        <v>6083.08</v>
      </c>
      <c r="M53" s="1">
        <v>597.86</v>
      </c>
      <c r="N53" s="1">
        <v>6680.94</v>
      </c>
      <c r="O53">
        <v>1175.83</v>
      </c>
      <c r="P53" s="2">
        <v>0.18928181633789801</v>
      </c>
      <c r="Q53">
        <v>-706.95000000000073</v>
      </c>
      <c r="R53" s="2">
        <v>-9.5690379797208805E-2</v>
      </c>
    </row>
    <row r="54" spans="1:18">
      <c r="A54" t="s">
        <v>119</v>
      </c>
      <c r="B54" s="1" t="s">
        <v>120</v>
      </c>
      <c r="C54" s="1">
        <v>5409.74</v>
      </c>
      <c r="D54" s="1">
        <v>449.19</v>
      </c>
      <c r="E54" s="1">
        <v>5858.93</v>
      </c>
      <c r="F54" s="1">
        <v>5547.17</v>
      </c>
      <c r="G54" s="1">
        <v>640.30999999999995</v>
      </c>
      <c r="H54" s="1">
        <v>6187.48</v>
      </c>
      <c r="I54" s="1">
        <v>5296.33</v>
      </c>
      <c r="J54" s="1">
        <v>260.08999999999997</v>
      </c>
      <c r="K54" s="1">
        <v>5556.42</v>
      </c>
      <c r="L54" s="1">
        <v>5275.15</v>
      </c>
      <c r="M54" s="1">
        <v>445.02</v>
      </c>
      <c r="N54" s="1">
        <v>5720.17</v>
      </c>
      <c r="O54">
        <v>-631.05999999999949</v>
      </c>
      <c r="P54" s="2">
        <v>-0.101989824613574</v>
      </c>
      <c r="Q54">
        <v>163.75</v>
      </c>
      <c r="R54" s="2">
        <v>2.9470414403518799E-2</v>
      </c>
    </row>
    <row r="55" spans="1:18">
      <c r="A55" t="s">
        <v>121</v>
      </c>
      <c r="B55" s="1" t="s">
        <v>122</v>
      </c>
      <c r="C55" s="1">
        <v>1632.93</v>
      </c>
      <c r="D55" s="1">
        <v>1003.33</v>
      </c>
      <c r="E55" s="1">
        <v>2636.26</v>
      </c>
      <c r="F55" s="1">
        <v>1710</v>
      </c>
      <c r="G55" s="1">
        <v>1070</v>
      </c>
      <c r="H55" s="1">
        <v>2780</v>
      </c>
      <c r="I55" s="1">
        <v>1670.64</v>
      </c>
      <c r="J55" s="1">
        <v>1070</v>
      </c>
      <c r="K55" s="1">
        <v>2740.64</v>
      </c>
      <c r="L55" s="1">
        <v>1732.7</v>
      </c>
      <c r="M55" s="1">
        <v>1100</v>
      </c>
      <c r="N55" s="1">
        <v>2832.7</v>
      </c>
      <c r="O55">
        <v>-39.360000000000127</v>
      </c>
      <c r="P55" s="2">
        <v>-1.4158273381295E-2</v>
      </c>
      <c r="Q55">
        <v>92.059999999999945</v>
      </c>
      <c r="R55" s="2">
        <v>3.35906941444334E-2</v>
      </c>
    </row>
    <row r="56" spans="1:18">
      <c r="A56" t="s">
        <v>123</v>
      </c>
      <c r="B56" s="1" t="s">
        <v>124</v>
      </c>
      <c r="C56" s="1">
        <v>2374.92</v>
      </c>
      <c r="D56" s="1">
        <v>2482.13</v>
      </c>
      <c r="E56" s="1">
        <v>4857.05</v>
      </c>
      <c r="F56" s="1">
        <v>2450</v>
      </c>
      <c r="G56" s="1">
        <v>2242.15</v>
      </c>
      <c r="H56" s="1">
        <v>4692.1499999999996</v>
      </c>
      <c r="I56" s="1">
        <v>5029.7</v>
      </c>
      <c r="J56" s="1">
        <v>2347.73</v>
      </c>
      <c r="K56" s="1">
        <v>7377.43</v>
      </c>
      <c r="L56" s="1">
        <v>2542.2600000000002</v>
      </c>
      <c r="M56" s="1">
        <v>2327.0500000000002</v>
      </c>
      <c r="N56" s="1">
        <v>4869.3100000000004</v>
      </c>
      <c r="O56">
        <v>2685.2800000000007</v>
      </c>
      <c r="P56" s="2">
        <v>0.572292019649841</v>
      </c>
      <c r="Q56">
        <v>-2508.12</v>
      </c>
      <c r="R56" s="2">
        <v>-0.33997204988729102</v>
      </c>
    </row>
    <row r="57" spans="1:18">
      <c r="A57" t="s">
        <v>125</v>
      </c>
      <c r="B57" s="1" t="s">
        <v>126</v>
      </c>
      <c r="C57" s="1">
        <v>1397.4</v>
      </c>
      <c r="D57" s="1">
        <v>215.6</v>
      </c>
      <c r="E57" s="1">
        <v>1613</v>
      </c>
      <c r="F57" s="1">
        <v>1296.04</v>
      </c>
      <c r="G57" s="1">
        <v>290.12</v>
      </c>
      <c r="H57" s="1">
        <v>1586.16</v>
      </c>
      <c r="I57" s="1">
        <v>1314.39</v>
      </c>
      <c r="J57" s="1">
        <v>266.70999999999998</v>
      </c>
      <c r="K57" s="1">
        <v>1581.1</v>
      </c>
      <c r="L57" s="1">
        <v>1336.49</v>
      </c>
      <c r="M57" s="1">
        <v>345.86</v>
      </c>
      <c r="N57" s="1">
        <v>1682.35</v>
      </c>
      <c r="O57">
        <v>-5.0600000000001728</v>
      </c>
      <c r="P57" s="2">
        <v>-3.1900943158320598E-3</v>
      </c>
      <c r="Q57">
        <v>101.25</v>
      </c>
      <c r="R57" s="2">
        <v>6.4037695275441203E-2</v>
      </c>
    </row>
    <row r="58" spans="1:18">
      <c r="A58" t="s">
        <v>127</v>
      </c>
      <c r="B58" s="1" t="s">
        <v>128</v>
      </c>
      <c r="C58" s="1">
        <v>966</v>
      </c>
      <c r="D58" s="1">
        <v>142</v>
      </c>
      <c r="E58" s="1">
        <v>1108</v>
      </c>
      <c r="F58" s="1">
        <v>968.01</v>
      </c>
      <c r="G58" s="1">
        <v>380</v>
      </c>
      <c r="H58" s="1">
        <v>1348.01</v>
      </c>
      <c r="I58" s="1">
        <v>967.01</v>
      </c>
      <c r="J58" s="1">
        <v>274.99</v>
      </c>
      <c r="K58" s="1">
        <v>1242</v>
      </c>
      <c r="L58" s="1">
        <v>968.01</v>
      </c>
      <c r="M58" s="1">
        <v>380</v>
      </c>
      <c r="N58" s="1">
        <v>1348.01</v>
      </c>
      <c r="O58">
        <v>-106.00999999999999</v>
      </c>
      <c r="P58" s="2">
        <v>-7.86418498379092E-2</v>
      </c>
      <c r="Q58">
        <v>106.00999999999999</v>
      </c>
      <c r="R58" s="2">
        <v>8.5354267310789003E-2</v>
      </c>
    </row>
    <row r="59" spans="1:18">
      <c r="A59" t="s">
        <v>129</v>
      </c>
      <c r="B59" s="1" t="s">
        <v>130</v>
      </c>
      <c r="C59" s="1">
        <v>46000.06</v>
      </c>
      <c r="D59" s="1">
        <v>0</v>
      </c>
      <c r="E59" s="1">
        <v>46000.06</v>
      </c>
      <c r="F59" s="1">
        <v>41000.07</v>
      </c>
      <c r="G59" s="1">
        <v>0</v>
      </c>
      <c r="H59" s="1">
        <v>41000.07</v>
      </c>
      <c r="I59" s="1">
        <v>41340.22</v>
      </c>
      <c r="J59" s="1">
        <v>0</v>
      </c>
      <c r="K59" s="1">
        <v>41340.22</v>
      </c>
      <c r="L59" s="1">
        <v>43290.29</v>
      </c>
      <c r="M59" s="1">
        <v>0</v>
      </c>
      <c r="N59" s="1">
        <v>43290.29</v>
      </c>
      <c r="O59">
        <v>340.15000000000146</v>
      </c>
      <c r="P59" s="2">
        <v>8.2963272989534306E-3</v>
      </c>
      <c r="Q59">
        <v>1950.0699999999997</v>
      </c>
      <c r="R59" s="2">
        <v>4.7171253563720802E-2</v>
      </c>
    </row>
    <row r="60" spans="1:18">
      <c r="A60" t="s">
        <v>131</v>
      </c>
      <c r="B60" s="1" t="s">
        <v>132</v>
      </c>
      <c r="C60" s="1">
        <v>3302.36</v>
      </c>
      <c r="D60" s="1">
        <v>0</v>
      </c>
      <c r="E60" s="1">
        <v>3302.36</v>
      </c>
      <c r="F60" s="1">
        <v>3432.19</v>
      </c>
      <c r="G60" s="1">
        <v>0.01</v>
      </c>
      <c r="H60" s="1">
        <v>3432.2</v>
      </c>
      <c r="I60" s="1">
        <v>3517.87</v>
      </c>
      <c r="J60" s="1">
        <v>0.01</v>
      </c>
      <c r="K60" s="1">
        <v>3517.88</v>
      </c>
      <c r="L60" s="1">
        <v>3517.87</v>
      </c>
      <c r="M60" s="1">
        <v>0.01</v>
      </c>
      <c r="N60" s="1">
        <v>3517.88</v>
      </c>
      <c r="O60">
        <v>85.680000000000291</v>
      </c>
      <c r="P60" s="2">
        <v>2.4963580210943501E-2</v>
      </c>
      <c r="Q60">
        <v>0</v>
      </c>
      <c r="R60" s="2">
        <v>0</v>
      </c>
    </row>
    <row r="61" spans="1:18">
      <c r="A61" t="s">
        <v>133</v>
      </c>
      <c r="B61" s="1" t="s">
        <v>134</v>
      </c>
      <c r="C61" s="1">
        <v>21632.38</v>
      </c>
      <c r="D61" s="1">
        <v>31622.77</v>
      </c>
      <c r="E61" s="1">
        <v>53255.15</v>
      </c>
      <c r="F61" s="1">
        <v>59153.62</v>
      </c>
      <c r="G61" s="1">
        <v>37623.379999999997</v>
      </c>
      <c r="H61" s="1">
        <v>96777</v>
      </c>
      <c r="I61" s="1">
        <v>24225.93</v>
      </c>
      <c r="J61" s="1">
        <v>32977.85</v>
      </c>
      <c r="K61" s="1">
        <v>57203.78</v>
      </c>
      <c r="L61" s="1">
        <v>50714.32</v>
      </c>
      <c r="M61" s="1">
        <v>34808.07</v>
      </c>
      <c r="N61" s="1">
        <v>85522.39</v>
      </c>
      <c r="O61">
        <v>-39573.22</v>
      </c>
      <c r="P61" s="2">
        <v>-0.40891141490230098</v>
      </c>
      <c r="Q61">
        <v>28318.61</v>
      </c>
      <c r="R61" s="2">
        <v>0.49504787970305503</v>
      </c>
    </row>
    <row r="62" spans="1:18">
      <c r="A62" t="s">
        <v>135</v>
      </c>
      <c r="B62" s="1" t="s">
        <v>136</v>
      </c>
      <c r="C62" s="1">
        <v>4256.72</v>
      </c>
      <c r="D62" s="1">
        <v>45.1</v>
      </c>
      <c r="E62" s="1">
        <v>4301.82</v>
      </c>
      <c r="F62" s="1">
        <v>4314.59</v>
      </c>
      <c r="G62" s="1">
        <v>43.79</v>
      </c>
      <c r="H62" s="1">
        <v>4358.38</v>
      </c>
      <c r="I62" s="1">
        <v>6038.34</v>
      </c>
      <c r="J62" s="1">
        <v>64.680000000000007</v>
      </c>
      <c r="K62" s="1">
        <v>6103.02</v>
      </c>
      <c r="L62" s="1">
        <v>4494.5600000000004</v>
      </c>
      <c r="M62" s="1">
        <v>57.38</v>
      </c>
      <c r="N62" s="1">
        <v>4551.9399999999996</v>
      </c>
      <c r="O62">
        <v>1744.6400000000003</v>
      </c>
      <c r="P62" s="2">
        <v>0.40029552264832402</v>
      </c>
      <c r="Q62">
        <v>-1551.0800000000008</v>
      </c>
      <c r="R62" s="2">
        <v>-0.25414958495957801</v>
      </c>
    </row>
    <row r="63" spans="1:18">
      <c r="A63" t="s">
        <v>137</v>
      </c>
      <c r="B63" s="1" t="s">
        <v>138</v>
      </c>
      <c r="C63" s="1">
        <v>20566.52</v>
      </c>
      <c r="D63" s="1">
        <v>300.13</v>
      </c>
      <c r="E63" s="1">
        <v>20866.650000000001</v>
      </c>
      <c r="F63" s="1">
        <v>24720.49</v>
      </c>
      <c r="G63" s="1">
        <v>556.34</v>
      </c>
      <c r="H63" s="1">
        <v>25276.83</v>
      </c>
      <c r="I63" s="1">
        <v>17948.66</v>
      </c>
      <c r="J63" s="1">
        <v>457.08</v>
      </c>
      <c r="K63" s="1">
        <v>18405.740000000002</v>
      </c>
      <c r="L63" s="1">
        <v>19437.32</v>
      </c>
      <c r="M63" s="1">
        <v>475.66</v>
      </c>
      <c r="N63" s="1">
        <v>19912.98</v>
      </c>
      <c r="O63">
        <v>-6871.09</v>
      </c>
      <c r="P63" s="2">
        <v>-0.27183353292323398</v>
      </c>
      <c r="Q63">
        <v>1507.239999999998</v>
      </c>
      <c r="R63" s="2">
        <v>8.1889671374255998E-2</v>
      </c>
    </row>
    <row r="64" spans="1:18">
      <c r="A64" t="s">
        <v>139</v>
      </c>
      <c r="B64" s="1" t="s">
        <v>140</v>
      </c>
      <c r="C64" s="1">
        <v>25851.75</v>
      </c>
      <c r="D64" s="1">
        <v>1.5</v>
      </c>
      <c r="E64" s="1">
        <v>25853.25</v>
      </c>
      <c r="F64" s="1">
        <v>74224.820000000007</v>
      </c>
      <c r="G64" s="1">
        <v>1.2</v>
      </c>
      <c r="H64" s="1">
        <v>74226.02</v>
      </c>
      <c r="I64" s="1">
        <v>23029.88</v>
      </c>
      <c r="J64" s="1">
        <v>1.2</v>
      </c>
      <c r="K64" s="1">
        <v>23031.08</v>
      </c>
      <c r="L64" s="1">
        <v>74893.66</v>
      </c>
      <c r="M64" s="1">
        <v>1.2</v>
      </c>
      <c r="N64" s="1">
        <v>74894.86</v>
      </c>
      <c r="O64">
        <v>-51194.94</v>
      </c>
      <c r="P64" s="2">
        <v>-0.68971689442597095</v>
      </c>
      <c r="Q64">
        <v>51863.78</v>
      </c>
      <c r="R64" s="2">
        <v>2.2519039489246699</v>
      </c>
    </row>
    <row r="65" spans="1:18">
      <c r="A65" t="s">
        <v>141</v>
      </c>
      <c r="B65" s="1" t="s">
        <v>142</v>
      </c>
      <c r="C65" s="1">
        <v>11375.63</v>
      </c>
      <c r="D65" s="1">
        <v>32.39</v>
      </c>
      <c r="E65" s="1">
        <v>11408.02</v>
      </c>
      <c r="F65" s="1">
        <v>32606.92</v>
      </c>
      <c r="G65" s="1">
        <v>39.270000000000003</v>
      </c>
      <c r="H65" s="1">
        <v>32646.19</v>
      </c>
      <c r="I65" s="1">
        <v>12659.41</v>
      </c>
      <c r="J65" s="1">
        <v>28.64</v>
      </c>
      <c r="K65" s="1">
        <v>12688.05</v>
      </c>
      <c r="L65" s="1">
        <v>32625.33</v>
      </c>
      <c r="M65" s="1">
        <v>40.98</v>
      </c>
      <c r="N65" s="1">
        <v>32666.31</v>
      </c>
      <c r="O65">
        <v>-19958.14</v>
      </c>
      <c r="P65" s="2">
        <v>-0.61134668394688596</v>
      </c>
      <c r="Q65">
        <v>19978.260000000002</v>
      </c>
      <c r="R65" s="2">
        <v>1.57457292491754</v>
      </c>
    </row>
    <row r="66" spans="1:18">
      <c r="A66" t="s">
        <v>143</v>
      </c>
      <c r="B66" s="1" t="s">
        <v>144</v>
      </c>
      <c r="C66" s="1">
        <v>7087.29</v>
      </c>
      <c r="D66" s="1">
        <v>102.29</v>
      </c>
      <c r="E66" s="1">
        <v>7189.58</v>
      </c>
      <c r="F66" s="1">
        <v>4807.22</v>
      </c>
      <c r="G66" s="1">
        <v>191.02</v>
      </c>
      <c r="H66" s="1">
        <v>4998.24</v>
      </c>
      <c r="I66" s="1">
        <v>4371.62</v>
      </c>
      <c r="J66" s="1">
        <v>818.25</v>
      </c>
      <c r="K66" s="1">
        <v>5189.87</v>
      </c>
      <c r="L66" s="1">
        <v>4259.59</v>
      </c>
      <c r="M66" s="1">
        <v>249.47</v>
      </c>
      <c r="N66" s="1">
        <v>4509.0600000000004</v>
      </c>
      <c r="O66">
        <v>191.63000000000011</v>
      </c>
      <c r="P66" s="2">
        <v>3.8339495502416901E-2</v>
      </c>
      <c r="Q66">
        <v>-680.80999999999949</v>
      </c>
      <c r="R66" s="2">
        <v>-0.131180549801825</v>
      </c>
    </row>
    <row r="67" spans="1:18">
      <c r="A67" t="s">
        <v>145</v>
      </c>
      <c r="B67" s="1" t="s">
        <v>146</v>
      </c>
      <c r="C67" s="1">
        <v>319.06</v>
      </c>
      <c r="D67" s="1">
        <v>-30.05</v>
      </c>
      <c r="E67" s="1">
        <v>289.01</v>
      </c>
      <c r="F67" s="1">
        <v>302.98</v>
      </c>
      <c r="G67" s="1">
        <v>2</v>
      </c>
      <c r="H67" s="1">
        <v>304.98</v>
      </c>
      <c r="I67" s="1">
        <v>358.79</v>
      </c>
      <c r="J67" s="1">
        <v>14.5</v>
      </c>
      <c r="K67" s="1">
        <v>373.29</v>
      </c>
      <c r="L67" s="1">
        <v>367.69</v>
      </c>
      <c r="M67" s="1">
        <v>14.53</v>
      </c>
      <c r="N67" s="1">
        <v>382.22</v>
      </c>
      <c r="O67">
        <v>68.31</v>
      </c>
      <c r="P67" s="2">
        <v>0.223981900452489</v>
      </c>
      <c r="Q67">
        <v>8.9300000000000068</v>
      </c>
      <c r="R67" s="2">
        <v>2.3922419566556798E-2</v>
      </c>
    </row>
    <row r="68" spans="1:18">
      <c r="A68" t="s">
        <v>147</v>
      </c>
      <c r="B68" s="1" t="s">
        <v>148</v>
      </c>
      <c r="C68" s="1">
        <v>507.96</v>
      </c>
      <c r="D68" s="1">
        <v>90.59</v>
      </c>
      <c r="E68" s="1">
        <v>598.54999999999995</v>
      </c>
      <c r="F68" s="1">
        <v>490.58</v>
      </c>
      <c r="G68" s="1">
        <v>56.57</v>
      </c>
      <c r="H68" s="1">
        <v>547.15</v>
      </c>
      <c r="I68" s="1">
        <v>565.63</v>
      </c>
      <c r="J68" s="1">
        <v>67.5</v>
      </c>
      <c r="K68" s="1">
        <v>633.13</v>
      </c>
      <c r="L68" s="1">
        <v>566.19000000000005</v>
      </c>
      <c r="M68" s="1">
        <v>55.92</v>
      </c>
      <c r="N68" s="1">
        <v>622.11</v>
      </c>
      <c r="O68">
        <v>85.980000000000018</v>
      </c>
      <c r="P68" s="2">
        <v>0.15714155167687099</v>
      </c>
      <c r="Q68">
        <v>-11.019999999999982</v>
      </c>
      <c r="R68" s="2">
        <v>-1.7405588109866799E-2</v>
      </c>
    </row>
    <row r="69" spans="1:18">
      <c r="A69" t="s">
        <v>149</v>
      </c>
      <c r="B69" s="1" t="s">
        <v>150</v>
      </c>
      <c r="C69" s="1">
        <v>7643.05</v>
      </c>
      <c r="D69" s="1">
        <v>587.91999999999996</v>
      </c>
      <c r="E69" s="1">
        <v>8230.9699999999993</v>
      </c>
      <c r="F69" s="1">
        <v>22452.42</v>
      </c>
      <c r="G69" s="1">
        <v>715.73</v>
      </c>
      <c r="H69" s="1">
        <v>23168.15</v>
      </c>
      <c r="I69" s="1">
        <v>11180.32</v>
      </c>
      <c r="J69" s="1">
        <v>915.66</v>
      </c>
      <c r="K69" s="1">
        <v>12095.98</v>
      </c>
      <c r="L69" s="1">
        <v>22647.26</v>
      </c>
      <c r="M69" s="1">
        <v>1919.01</v>
      </c>
      <c r="N69" s="1">
        <v>24566.27</v>
      </c>
      <c r="O69">
        <v>-11072.170000000002</v>
      </c>
      <c r="P69" s="2">
        <v>-0.477904796023852</v>
      </c>
      <c r="Q69">
        <v>12470.29</v>
      </c>
      <c r="R69" s="2">
        <v>1.0309449916418501</v>
      </c>
    </row>
    <row r="70" spans="1:18">
      <c r="A70" t="s">
        <v>151</v>
      </c>
      <c r="B70" s="1" t="s">
        <v>152</v>
      </c>
      <c r="C70" s="1">
        <v>3050.41</v>
      </c>
      <c r="D70" s="1">
        <v>46</v>
      </c>
      <c r="E70" s="1">
        <v>3096.41</v>
      </c>
      <c r="F70" s="1">
        <v>2958.91</v>
      </c>
      <c r="G70" s="1">
        <v>79.09</v>
      </c>
      <c r="H70" s="1">
        <v>3038</v>
      </c>
      <c r="I70" s="1">
        <v>2991.2</v>
      </c>
      <c r="J70" s="1">
        <v>173.94</v>
      </c>
      <c r="K70" s="1">
        <v>3165.14</v>
      </c>
      <c r="L70" s="1">
        <v>3642.8</v>
      </c>
      <c r="M70" s="1">
        <v>163.65</v>
      </c>
      <c r="N70" s="1">
        <v>3806.45</v>
      </c>
      <c r="O70">
        <v>127.13999999999987</v>
      </c>
      <c r="P70" s="2">
        <v>4.1849901250822899E-2</v>
      </c>
      <c r="Q70">
        <v>641.30999999999995</v>
      </c>
      <c r="R70" s="2">
        <v>0.202616629912105</v>
      </c>
    </row>
    <row r="71" spans="1:18">
      <c r="A71" t="s">
        <v>153</v>
      </c>
      <c r="B71" s="1" t="s">
        <v>154</v>
      </c>
      <c r="C71" s="1">
        <v>712.03</v>
      </c>
      <c r="D71" s="1">
        <v>2.95</v>
      </c>
      <c r="E71" s="1">
        <v>714.98</v>
      </c>
      <c r="F71" s="1">
        <v>3346.28</v>
      </c>
      <c r="G71" s="1">
        <v>3.72</v>
      </c>
      <c r="H71" s="1">
        <v>3350</v>
      </c>
      <c r="I71" s="1">
        <v>2157.98</v>
      </c>
      <c r="J71" s="1">
        <v>2.4700000000000002</v>
      </c>
      <c r="K71" s="1">
        <v>2160.4499999999998</v>
      </c>
      <c r="L71" s="1">
        <v>3395.62</v>
      </c>
      <c r="M71" s="1">
        <v>4.38</v>
      </c>
      <c r="N71" s="1">
        <v>3400</v>
      </c>
      <c r="O71">
        <v>-1189.5500000000002</v>
      </c>
      <c r="P71" s="2">
        <v>-0.35508955223880601</v>
      </c>
      <c r="Q71">
        <v>1239.5500000000002</v>
      </c>
      <c r="R71" s="2">
        <v>0.57374621028026596</v>
      </c>
    </row>
    <row r="72" spans="1:18">
      <c r="A72" t="s">
        <v>155</v>
      </c>
      <c r="B72" s="1" t="s">
        <v>156</v>
      </c>
      <c r="C72" s="1">
        <v>18620.259999999998</v>
      </c>
      <c r="D72" s="1">
        <v>6.39</v>
      </c>
      <c r="E72" s="1">
        <v>18626.650000000001</v>
      </c>
      <c r="F72" s="1">
        <v>26542.18</v>
      </c>
      <c r="G72" s="1">
        <v>7.2</v>
      </c>
      <c r="H72" s="1">
        <v>26549.38</v>
      </c>
      <c r="I72" s="1">
        <v>25299.02</v>
      </c>
      <c r="J72" s="1">
        <v>2.2000000000000002</v>
      </c>
      <c r="K72" s="1">
        <v>25301.22</v>
      </c>
      <c r="L72" s="1">
        <v>32911.14</v>
      </c>
      <c r="M72" s="1">
        <v>3.53</v>
      </c>
      <c r="N72" s="1">
        <v>32914.67</v>
      </c>
      <c r="O72">
        <v>-1248.1599999999999</v>
      </c>
      <c r="P72" s="2">
        <v>-4.7012773932950599E-2</v>
      </c>
      <c r="Q72">
        <v>7613.4499999999971</v>
      </c>
      <c r="R72" s="2">
        <v>0.300912367071627</v>
      </c>
    </row>
    <row r="73" spans="1:18">
      <c r="A73" t="s">
        <v>157</v>
      </c>
      <c r="B73" s="1" t="s">
        <v>158</v>
      </c>
      <c r="C73" s="1">
        <v>838.57</v>
      </c>
      <c r="D73" s="1">
        <v>11.66</v>
      </c>
      <c r="E73" s="1">
        <v>850.23</v>
      </c>
      <c r="F73" s="1">
        <v>1170.9000000000001</v>
      </c>
      <c r="G73" s="1">
        <v>14.1</v>
      </c>
      <c r="H73" s="1">
        <v>1185</v>
      </c>
      <c r="I73" s="1">
        <v>951.15</v>
      </c>
      <c r="J73" s="1">
        <v>14.81</v>
      </c>
      <c r="K73" s="1">
        <v>965.96</v>
      </c>
      <c r="L73" s="1">
        <v>1186.8800000000001</v>
      </c>
      <c r="M73" s="1">
        <v>3.28</v>
      </c>
      <c r="N73" s="1">
        <v>1190.1600000000001</v>
      </c>
      <c r="O73">
        <v>-219.03999999999996</v>
      </c>
      <c r="P73" s="2">
        <v>-0.18484388185653999</v>
      </c>
      <c r="Q73">
        <v>224.20000000000005</v>
      </c>
      <c r="R73" s="2">
        <v>0.232100708103855</v>
      </c>
    </row>
    <row r="74" spans="1:18">
      <c r="A74" t="s">
        <v>159</v>
      </c>
      <c r="B74" s="1" t="s">
        <v>160</v>
      </c>
      <c r="C74" s="1">
        <v>56.68</v>
      </c>
      <c r="D74" s="1">
        <v>6.34</v>
      </c>
      <c r="E74" s="1">
        <v>63.02</v>
      </c>
      <c r="F74" s="1">
        <v>59.9</v>
      </c>
      <c r="G74" s="1">
        <v>6.66</v>
      </c>
      <c r="H74" s="1">
        <v>66.56</v>
      </c>
      <c r="I74" s="1">
        <v>58.6</v>
      </c>
      <c r="J74" s="1">
        <v>7.71</v>
      </c>
      <c r="K74" s="1">
        <v>66.31</v>
      </c>
      <c r="L74" s="1">
        <v>61.18</v>
      </c>
      <c r="M74" s="1">
        <v>7.27</v>
      </c>
      <c r="N74" s="1">
        <v>68.45</v>
      </c>
      <c r="O74">
        <v>-0.25</v>
      </c>
      <c r="P74" s="2">
        <v>-3.7560096153846198E-3</v>
      </c>
      <c r="Q74">
        <v>2.1400000000000006</v>
      </c>
      <c r="R74" s="2">
        <v>3.22726587241743E-2</v>
      </c>
    </row>
    <row r="75" spans="1:18">
      <c r="A75" t="s">
        <v>161</v>
      </c>
      <c r="B75" s="1" t="s">
        <v>162</v>
      </c>
      <c r="C75" s="1">
        <v>2249.33</v>
      </c>
      <c r="D75" s="1">
        <v>251.99</v>
      </c>
      <c r="E75" s="1">
        <v>2501.3200000000002</v>
      </c>
      <c r="F75" s="1">
        <v>2408.69</v>
      </c>
      <c r="G75" s="1">
        <v>247.77</v>
      </c>
      <c r="H75" s="1">
        <v>2656.46</v>
      </c>
      <c r="I75" s="1">
        <v>2373.84</v>
      </c>
      <c r="J75" s="1">
        <v>151.22999999999999</v>
      </c>
      <c r="K75" s="1">
        <v>2525.0700000000002</v>
      </c>
      <c r="L75" s="1">
        <v>2454.37</v>
      </c>
      <c r="M75" s="1">
        <v>153.08000000000001</v>
      </c>
      <c r="N75" s="1">
        <v>2607.4499999999998</v>
      </c>
      <c r="O75">
        <v>-131.38999999999987</v>
      </c>
      <c r="P75" s="2">
        <v>-4.9460560294527299E-2</v>
      </c>
      <c r="Q75">
        <v>82.379999999999654</v>
      </c>
      <c r="R75" s="2">
        <v>3.2624838123299402E-2</v>
      </c>
    </row>
    <row r="76" spans="1:18">
      <c r="A76" t="s">
        <v>163</v>
      </c>
      <c r="B76" s="1" t="s">
        <v>164</v>
      </c>
      <c r="C76" s="1">
        <v>46.84</v>
      </c>
      <c r="D76" s="1">
        <v>1.6</v>
      </c>
      <c r="E76" s="1">
        <v>48.44</v>
      </c>
      <c r="F76" s="1">
        <v>50.45</v>
      </c>
      <c r="G76" s="1">
        <v>1.62</v>
      </c>
      <c r="H76" s="1">
        <v>52.07</v>
      </c>
      <c r="I76" s="1">
        <v>49.04</v>
      </c>
      <c r="J76" s="1">
        <v>1.62</v>
      </c>
      <c r="K76" s="1">
        <v>50.66</v>
      </c>
      <c r="L76" s="1">
        <v>52.85</v>
      </c>
      <c r="M76" s="1">
        <v>1.71</v>
      </c>
      <c r="N76" s="1">
        <v>54.56</v>
      </c>
      <c r="O76">
        <v>-1.4100000000000037</v>
      </c>
      <c r="P76" s="2">
        <v>-2.7078932206645E-2</v>
      </c>
      <c r="Q76">
        <v>3.9000000000000057</v>
      </c>
      <c r="R76" s="2">
        <v>7.6983813659692202E-2</v>
      </c>
    </row>
    <row r="77" spans="1:18">
      <c r="A77" t="s">
        <v>165</v>
      </c>
      <c r="B77" s="1" t="s">
        <v>166</v>
      </c>
      <c r="C77" s="1">
        <v>16621.78</v>
      </c>
      <c r="D77" s="1">
        <v>340.55</v>
      </c>
      <c r="E77" s="1">
        <v>16962.330000000002</v>
      </c>
      <c r="F77" s="1">
        <v>12700.77</v>
      </c>
      <c r="G77" s="1">
        <v>6626.13</v>
      </c>
      <c r="H77" s="1">
        <v>19326.900000000001</v>
      </c>
      <c r="I77" s="1">
        <v>28393.21</v>
      </c>
      <c r="J77" s="1">
        <v>1407.13</v>
      </c>
      <c r="K77" s="1">
        <v>29800.34</v>
      </c>
      <c r="L77" s="1">
        <v>30204.77</v>
      </c>
      <c r="M77" s="1">
        <v>238.45</v>
      </c>
      <c r="N77" s="1">
        <v>30443.22</v>
      </c>
      <c r="O77">
        <v>10473.439999999999</v>
      </c>
      <c r="P77" s="2">
        <v>0.54190998039002602</v>
      </c>
      <c r="Q77">
        <v>642.88000000000102</v>
      </c>
      <c r="R77" s="2">
        <v>2.1572908228563899E-2</v>
      </c>
    </row>
    <row r="78" spans="1:18">
      <c r="A78" t="s">
        <v>167</v>
      </c>
      <c r="B78" s="1" t="s">
        <v>168</v>
      </c>
      <c r="C78" s="1">
        <v>273.27999999999997</v>
      </c>
      <c r="D78" s="1">
        <v>7.15</v>
      </c>
      <c r="E78" s="1">
        <v>280.43</v>
      </c>
      <c r="F78" s="1">
        <v>972.35</v>
      </c>
      <c r="G78" s="1">
        <v>33.71</v>
      </c>
      <c r="H78" s="1">
        <v>1006.06</v>
      </c>
      <c r="I78" s="1">
        <v>826.67</v>
      </c>
      <c r="J78" s="1">
        <v>21.57</v>
      </c>
      <c r="K78" s="1">
        <v>848.24</v>
      </c>
      <c r="L78" s="1">
        <v>1203.3800000000001</v>
      </c>
      <c r="M78" s="1">
        <v>28.78</v>
      </c>
      <c r="N78" s="1">
        <v>1232.1600000000001</v>
      </c>
      <c r="O78">
        <v>-157.81999999999994</v>
      </c>
      <c r="P78" s="2">
        <v>-0.156869371608055</v>
      </c>
      <c r="Q78">
        <v>383.92000000000007</v>
      </c>
      <c r="R78" s="2">
        <v>0.452607752522871</v>
      </c>
    </row>
    <row r="79" spans="1:18">
      <c r="A79" t="s">
        <v>169</v>
      </c>
      <c r="B79" s="1" t="s">
        <v>170</v>
      </c>
      <c r="C79" s="1">
        <v>1498.17</v>
      </c>
      <c r="D79" s="1">
        <v>1339.41</v>
      </c>
      <c r="E79" s="1">
        <v>2837.58</v>
      </c>
      <c r="F79" s="1">
        <v>1709.23</v>
      </c>
      <c r="G79" s="1">
        <v>1761.35</v>
      </c>
      <c r="H79" s="1">
        <v>3470.58</v>
      </c>
      <c r="I79" s="1">
        <v>1700.13</v>
      </c>
      <c r="J79" s="1">
        <v>1198.98</v>
      </c>
      <c r="K79" s="1">
        <v>2899.11</v>
      </c>
      <c r="L79" s="1">
        <v>3964.88</v>
      </c>
      <c r="M79" s="1">
        <v>1199.92</v>
      </c>
      <c r="N79" s="1">
        <v>5164.8</v>
      </c>
      <c r="O79">
        <v>-571.4699999999998</v>
      </c>
      <c r="P79" s="2">
        <v>-0.164661238179209</v>
      </c>
      <c r="Q79">
        <v>2265.69</v>
      </c>
      <c r="R79" s="2">
        <v>0.78151225720997097</v>
      </c>
    </row>
    <row r="80" spans="1:18">
      <c r="A80" t="s">
        <v>171</v>
      </c>
      <c r="B80" s="1" t="s">
        <v>172</v>
      </c>
      <c r="C80" s="1">
        <v>18591.32</v>
      </c>
      <c r="D80" s="1">
        <v>1122.46</v>
      </c>
      <c r="E80" s="1">
        <v>19713.78</v>
      </c>
      <c r="F80" s="1">
        <v>21188.59</v>
      </c>
      <c r="G80" s="1">
        <v>658.41</v>
      </c>
      <c r="H80" s="1">
        <v>21847</v>
      </c>
      <c r="I80" s="1">
        <v>21004.15</v>
      </c>
      <c r="J80" s="1">
        <v>583.51</v>
      </c>
      <c r="K80" s="1">
        <v>21587.66</v>
      </c>
      <c r="L80" s="1">
        <v>29635.83</v>
      </c>
      <c r="M80" s="1">
        <v>361.02</v>
      </c>
      <c r="N80" s="1">
        <v>29996.85</v>
      </c>
      <c r="O80">
        <v>-259.34000000000015</v>
      </c>
      <c r="P80" s="2">
        <v>-1.18707374010162E-2</v>
      </c>
      <c r="Q80">
        <v>8409.1899999999987</v>
      </c>
      <c r="R80" s="2">
        <v>0.38953689283600001</v>
      </c>
    </row>
    <row r="81" spans="1:18">
      <c r="A81" t="s">
        <v>173</v>
      </c>
      <c r="B81" s="1" t="s">
        <v>174</v>
      </c>
      <c r="C81" s="1">
        <v>111.19</v>
      </c>
      <c r="D81" s="1">
        <v>12.99</v>
      </c>
      <c r="E81" s="1">
        <v>124.18</v>
      </c>
      <c r="F81" s="1">
        <v>125.63</v>
      </c>
      <c r="G81" s="1">
        <v>16.2</v>
      </c>
      <c r="H81" s="1">
        <v>141.83000000000001</v>
      </c>
      <c r="I81" s="1">
        <v>125.63</v>
      </c>
      <c r="J81" s="1">
        <v>16.2</v>
      </c>
      <c r="K81" s="1">
        <v>141.83000000000001</v>
      </c>
      <c r="L81" s="1">
        <v>133.1</v>
      </c>
      <c r="M81" s="1">
        <v>4.0999999999999996</v>
      </c>
      <c r="N81" s="1">
        <v>137.19999999999999</v>
      </c>
      <c r="O81">
        <v>0</v>
      </c>
      <c r="P81" s="2">
        <v>0</v>
      </c>
      <c r="Q81">
        <v>-4.6300000000000239</v>
      </c>
      <c r="R81" s="2">
        <v>-3.2644715504477402E-2</v>
      </c>
    </row>
    <row r="82" spans="1:18">
      <c r="A82" t="s">
        <v>175</v>
      </c>
      <c r="B82" s="1" t="s">
        <v>176</v>
      </c>
      <c r="C82" s="1">
        <v>669.72</v>
      </c>
      <c r="D82" s="1">
        <v>25.82</v>
      </c>
      <c r="E82" s="1">
        <v>695.54</v>
      </c>
      <c r="F82" s="1">
        <v>878.1</v>
      </c>
      <c r="G82" s="1">
        <v>24.9</v>
      </c>
      <c r="H82" s="1">
        <v>903</v>
      </c>
      <c r="I82" s="1">
        <v>893.05</v>
      </c>
      <c r="J82" s="1">
        <v>29.95</v>
      </c>
      <c r="K82" s="1">
        <v>923</v>
      </c>
      <c r="L82" s="1">
        <v>978.17</v>
      </c>
      <c r="M82" s="1">
        <v>30.83</v>
      </c>
      <c r="N82" s="1">
        <v>1009</v>
      </c>
      <c r="O82">
        <v>20</v>
      </c>
      <c r="P82" s="2">
        <v>2.2148394241417499E-2</v>
      </c>
      <c r="Q82">
        <v>86</v>
      </c>
      <c r="R82" s="2">
        <v>9.3174431202600203E-2</v>
      </c>
    </row>
    <row r="83" spans="1:18">
      <c r="A83" t="s">
        <v>177</v>
      </c>
      <c r="B83" s="1" t="s">
        <v>178</v>
      </c>
      <c r="C83" s="1">
        <v>399.68</v>
      </c>
      <c r="D83" s="1">
        <v>12.36</v>
      </c>
      <c r="E83" s="1">
        <v>412.04</v>
      </c>
      <c r="F83" s="1">
        <v>400.89</v>
      </c>
      <c r="G83" s="1">
        <v>13</v>
      </c>
      <c r="H83" s="1">
        <v>413.89</v>
      </c>
      <c r="I83" s="1">
        <v>467.05</v>
      </c>
      <c r="J83" s="1">
        <v>14.28</v>
      </c>
      <c r="K83" s="1">
        <v>481.33</v>
      </c>
      <c r="L83" s="1">
        <v>471.32</v>
      </c>
      <c r="M83" s="1">
        <v>11.67</v>
      </c>
      <c r="N83" s="1">
        <v>482.99</v>
      </c>
      <c r="O83">
        <v>67.44</v>
      </c>
      <c r="P83" s="2">
        <v>0.16294184445142401</v>
      </c>
      <c r="Q83">
        <v>1.660000000000025</v>
      </c>
      <c r="R83" s="2">
        <v>3.44877734610356E-3</v>
      </c>
    </row>
    <row r="84" spans="1:18">
      <c r="A84" t="s">
        <v>179</v>
      </c>
      <c r="B84" s="1" t="s">
        <v>180</v>
      </c>
      <c r="C84" s="1">
        <v>10.68</v>
      </c>
      <c r="D84" s="1">
        <v>0.28999999999999998</v>
      </c>
      <c r="E84" s="1">
        <v>10.97</v>
      </c>
      <c r="F84" s="1">
        <v>12.11</v>
      </c>
      <c r="G84" s="1">
        <v>0.31</v>
      </c>
      <c r="H84" s="1">
        <v>12.42</v>
      </c>
      <c r="I84" s="1">
        <v>11.98</v>
      </c>
      <c r="J84" s="1">
        <v>0.16</v>
      </c>
      <c r="K84" s="1">
        <v>12.14</v>
      </c>
      <c r="L84" s="1">
        <v>11.39</v>
      </c>
      <c r="M84" s="1">
        <v>0.31</v>
      </c>
      <c r="N84" s="1">
        <v>11.7</v>
      </c>
      <c r="O84">
        <v>-0.27999999999999936</v>
      </c>
      <c r="P84" s="2">
        <v>-2.25442834138486E-2</v>
      </c>
      <c r="Q84">
        <v>-0.44000000000000128</v>
      </c>
      <c r="R84" s="2">
        <v>-3.6243822075782597E-2</v>
      </c>
    </row>
    <row r="85" spans="1:18">
      <c r="A85" t="s">
        <v>181</v>
      </c>
      <c r="B85" s="1" t="s">
        <v>182</v>
      </c>
      <c r="C85" s="1">
        <v>405.51</v>
      </c>
      <c r="D85" s="1">
        <v>21.5</v>
      </c>
      <c r="E85" s="1">
        <v>427.01</v>
      </c>
      <c r="F85" s="1">
        <v>414.12</v>
      </c>
      <c r="G85" s="1">
        <v>21.64</v>
      </c>
      <c r="H85" s="1">
        <v>435.76</v>
      </c>
      <c r="I85" s="1">
        <v>411.25</v>
      </c>
      <c r="J85" s="1">
        <v>21.64</v>
      </c>
      <c r="K85" s="1">
        <v>432.89</v>
      </c>
      <c r="L85" s="1">
        <v>421.09</v>
      </c>
      <c r="M85" s="1">
        <v>21.85</v>
      </c>
      <c r="N85" s="1">
        <v>442.94</v>
      </c>
      <c r="O85">
        <v>-2.8700000000000045</v>
      </c>
      <c r="P85" s="2">
        <v>-6.5861942353589199E-3</v>
      </c>
      <c r="Q85">
        <v>10.050000000000011</v>
      </c>
      <c r="R85" s="2">
        <v>2.3216059507034099E-2</v>
      </c>
    </row>
    <row r="86" spans="1:18">
      <c r="A86" t="s">
        <v>183</v>
      </c>
      <c r="B86" s="1" t="s">
        <v>184</v>
      </c>
      <c r="C86" s="1">
        <v>3316.45</v>
      </c>
      <c r="D86" s="1">
        <v>251946.56</v>
      </c>
      <c r="E86" s="1">
        <v>255263.01</v>
      </c>
      <c r="F86" s="1">
        <v>3445.18</v>
      </c>
      <c r="G86" s="1">
        <v>252000</v>
      </c>
      <c r="H86" s="1">
        <v>255445.18</v>
      </c>
      <c r="I86" s="1">
        <v>3466.32</v>
      </c>
      <c r="J86" s="1">
        <v>252000</v>
      </c>
      <c r="K86" s="1">
        <v>255466.32</v>
      </c>
      <c r="L86" s="1">
        <v>3547.32</v>
      </c>
      <c r="M86" s="1">
        <v>277830</v>
      </c>
      <c r="N86" s="1">
        <v>281377.32</v>
      </c>
      <c r="O86">
        <v>21.14000000001397</v>
      </c>
      <c r="P86" s="2">
        <v>8.2757482446973397E-5</v>
      </c>
      <c r="Q86">
        <v>25911</v>
      </c>
      <c r="R86" s="2">
        <v>0.101426285860304</v>
      </c>
    </row>
    <row r="87" spans="1:18">
      <c r="A87" t="s">
        <v>185</v>
      </c>
      <c r="B87" s="1" t="s">
        <v>186</v>
      </c>
      <c r="C87" s="1">
        <v>14115.95</v>
      </c>
      <c r="D87" s="1">
        <v>285344.40000000002</v>
      </c>
      <c r="E87" s="1">
        <v>299460.34999999998</v>
      </c>
      <c r="F87" s="1">
        <v>15092.01</v>
      </c>
      <c r="G87" s="1">
        <v>272241.15000000002</v>
      </c>
      <c r="H87" s="1">
        <v>287333.15999999997</v>
      </c>
      <c r="I87" s="1">
        <v>15090.41</v>
      </c>
      <c r="J87" s="1">
        <v>272051.46000000002</v>
      </c>
      <c r="K87" s="1">
        <v>287141.87</v>
      </c>
      <c r="L87" s="1">
        <v>15707.85</v>
      </c>
      <c r="M87" s="1">
        <v>294167.45</v>
      </c>
      <c r="N87" s="1">
        <v>309875.3</v>
      </c>
      <c r="O87">
        <v>-191.28999999997905</v>
      </c>
      <c r="P87" s="2">
        <v>-6.6574286100490104E-4</v>
      </c>
      <c r="Q87">
        <v>22733.429999999993</v>
      </c>
      <c r="R87" s="2">
        <v>7.9171421430110495E-2</v>
      </c>
    </row>
    <row r="88" spans="1:18">
      <c r="A88" t="s">
        <v>187</v>
      </c>
      <c r="B88" s="1" t="s">
        <v>188</v>
      </c>
      <c r="C88" s="1">
        <v>176650.78</v>
      </c>
      <c r="D88" s="1">
        <v>3.98</v>
      </c>
      <c r="E88" s="1">
        <v>176654.76</v>
      </c>
      <c r="F88" s="1">
        <v>187750.29</v>
      </c>
      <c r="G88" s="1">
        <v>4.24</v>
      </c>
      <c r="H88" s="1">
        <v>187754.53</v>
      </c>
      <c r="I88" s="1">
        <v>186991.37</v>
      </c>
      <c r="J88" s="1">
        <v>4.24</v>
      </c>
      <c r="K88" s="1">
        <v>186995.61</v>
      </c>
      <c r="L88" s="1">
        <v>194364.18</v>
      </c>
      <c r="M88" s="1">
        <v>4.63</v>
      </c>
      <c r="N88" s="1">
        <v>194368.81</v>
      </c>
      <c r="O88">
        <v>-758.92000000001281</v>
      </c>
      <c r="P88" s="2">
        <v>-4.04208622822583E-3</v>
      </c>
      <c r="Q88">
        <v>7373.2000000000116</v>
      </c>
      <c r="R88" s="2">
        <v>3.9429802656864597E-2</v>
      </c>
    </row>
    <row r="89" spans="1:18">
      <c r="A89" t="s">
        <v>189</v>
      </c>
      <c r="B89" s="1" t="s">
        <v>190</v>
      </c>
      <c r="C89" s="1">
        <v>2651.13</v>
      </c>
      <c r="D89" s="1">
        <v>0.87</v>
      </c>
      <c r="E89" s="1">
        <v>2652</v>
      </c>
      <c r="F89" s="1">
        <v>2649.99</v>
      </c>
      <c r="G89" s="1">
        <v>1.01</v>
      </c>
      <c r="H89" s="1">
        <v>2651</v>
      </c>
      <c r="I89" s="1">
        <v>1756.39</v>
      </c>
      <c r="J89" s="1">
        <v>1.01</v>
      </c>
      <c r="K89" s="1">
        <v>1757.4</v>
      </c>
      <c r="L89" s="1">
        <v>2653.33</v>
      </c>
      <c r="M89" s="1">
        <v>1</v>
      </c>
      <c r="N89" s="1">
        <v>2654.33</v>
      </c>
      <c r="O89">
        <v>-893.59999999999991</v>
      </c>
      <c r="P89" s="2">
        <v>-0.33708034703885298</v>
      </c>
      <c r="Q89">
        <v>896.92999999999984</v>
      </c>
      <c r="R89" s="2">
        <v>0.51037327870718097</v>
      </c>
    </row>
    <row r="90" spans="1:18">
      <c r="A90" t="s">
        <v>191</v>
      </c>
      <c r="B90" s="1" t="s">
        <v>192</v>
      </c>
      <c r="C90" s="1">
        <v>4957.1899999999996</v>
      </c>
      <c r="D90" s="1">
        <v>64.22</v>
      </c>
      <c r="E90" s="1">
        <v>5021.41</v>
      </c>
      <c r="F90" s="1">
        <v>8413.0499999999993</v>
      </c>
      <c r="G90" s="1">
        <v>20095.849999999999</v>
      </c>
      <c r="H90" s="1">
        <v>28508.9</v>
      </c>
      <c r="I90" s="1">
        <v>8838.52</v>
      </c>
      <c r="J90" s="1">
        <v>3083.06</v>
      </c>
      <c r="K90" s="1">
        <v>11921.58</v>
      </c>
      <c r="L90" s="1">
        <v>7963.94</v>
      </c>
      <c r="M90" s="1">
        <v>20085.38</v>
      </c>
      <c r="N90" s="1">
        <v>28049.32</v>
      </c>
      <c r="O90">
        <v>-16587.32</v>
      </c>
      <c r="P90" s="2">
        <v>-0.58182953393501702</v>
      </c>
      <c r="Q90">
        <v>16127.74</v>
      </c>
      <c r="R90" s="2">
        <v>1.3528190055345</v>
      </c>
    </row>
    <row r="91" spans="1:18">
      <c r="A91" t="s">
        <v>193</v>
      </c>
      <c r="B91" s="1" t="s">
        <v>194</v>
      </c>
      <c r="C91" s="1">
        <v>1971.66</v>
      </c>
      <c r="D91" s="1">
        <v>0</v>
      </c>
      <c r="E91" s="1">
        <v>1971.66</v>
      </c>
      <c r="F91" s="1">
        <v>3446.64</v>
      </c>
      <c r="G91" s="1">
        <v>0</v>
      </c>
      <c r="H91" s="1">
        <v>3446.64</v>
      </c>
      <c r="I91" s="1">
        <v>2830.45</v>
      </c>
      <c r="J91" s="1">
        <v>0</v>
      </c>
      <c r="K91" s="1">
        <v>2830.45</v>
      </c>
      <c r="L91" s="1">
        <v>3446</v>
      </c>
      <c r="M91" s="1">
        <v>0</v>
      </c>
      <c r="N91" s="1">
        <v>3446</v>
      </c>
      <c r="O91">
        <v>-616.19000000000005</v>
      </c>
      <c r="P91" s="2">
        <v>-0.17877991319081801</v>
      </c>
      <c r="Q91">
        <v>615.55000000000018</v>
      </c>
      <c r="R91" s="2">
        <v>0.21747425321062</v>
      </c>
    </row>
    <row r="92" spans="1:18">
      <c r="A92" t="s">
        <v>195</v>
      </c>
      <c r="B92" s="1" t="s">
        <v>196</v>
      </c>
      <c r="C92" s="1">
        <v>6203.39</v>
      </c>
      <c r="D92" s="1">
        <v>1.3</v>
      </c>
      <c r="E92" s="1">
        <v>6204.69</v>
      </c>
      <c r="F92" s="1">
        <v>6656.17</v>
      </c>
      <c r="G92" s="1">
        <v>1.61</v>
      </c>
      <c r="H92" s="1">
        <v>6657.78</v>
      </c>
      <c r="I92" s="1">
        <v>6430.27</v>
      </c>
      <c r="J92" s="1">
        <v>2.89</v>
      </c>
      <c r="K92" s="1">
        <v>6433.16</v>
      </c>
      <c r="L92" s="1">
        <v>6760.29</v>
      </c>
      <c r="M92" s="1">
        <v>5.33</v>
      </c>
      <c r="N92" s="1">
        <v>6765.62</v>
      </c>
      <c r="O92">
        <v>-224.61999999999989</v>
      </c>
      <c r="P92" s="2">
        <v>-3.3737972717632597E-2</v>
      </c>
      <c r="Q92">
        <v>332.46000000000004</v>
      </c>
      <c r="R92" s="2">
        <v>5.1679112597852399E-2</v>
      </c>
    </row>
    <row r="93" spans="1:18">
      <c r="A93" t="s">
        <v>197</v>
      </c>
      <c r="B93" s="1" t="s">
        <v>198</v>
      </c>
      <c r="C93" s="1">
        <v>2688.69</v>
      </c>
      <c r="D93" s="1">
        <v>86.01</v>
      </c>
      <c r="E93" s="1">
        <v>2774.7</v>
      </c>
      <c r="F93" s="1">
        <v>6017.04</v>
      </c>
      <c r="G93" s="1">
        <v>83.06</v>
      </c>
      <c r="H93" s="1">
        <v>6100.1</v>
      </c>
      <c r="I93" s="1">
        <v>2637.54</v>
      </c>
      <c r="J93" s="1">
        <v>66</v>
      </c>
      <c r="K93" s="1">
        <v>2703.54</v>
      </c>
      <c r="L93" s="1">
        <v>9759.51</v>
      </c>
      <c r="M93" s="1">
        <v>126.29</v>
      </c>
      <c r="N93" s="1">
        <v>9885.7999999999993</v>
      </c>
      <c r="O93">
        <v>-3396.5600000000004</v>
      </c>
      <c r="P93" s="2">
        <v>-0.55680398681988796</v>
      </c>
      <c r="Q93">
        <v>7182.2599999999993</v>
      </c>
      <c r="R93" s="2">
        <v>2.65661318123645</v>
      </c>
    </row>
    <row r="94" spans="1:18">
      <c r="A94" t="s">
        <v>199</v>
      </c>
      <c r="B94" s="1" t="s">
        <v>200</v>
      </c>
      <c r="C94" s="1">
        <v>8995.16</v>
      </c>
      <c r="D94" s="1">
        <v>35.79</v>
      </c>
      <c r="E94" s="1">
        <v>9030.9500000000007</v>
      </c>
      <c r="F94" s="1">
        <v>13599.42</v>
      </c>
      <c r="G94" s="1">
        <v>11.58</v>
      </c>
      <c r="H94" s="1">
        <v>13611</v>
      </c>
      <c r="I94" s="1">
        <v>11394.46</v>
      </c>
      <c r="J94" s="1">
        <v>8.2799999999999994</v>
      </c>
      <c r="K94" s="1">
        <v>11402.74</v>
      </c>
      <c r="L94" s="1">
        <v>13678.02</v>
      </c>
      <c r="M94" s="1">
        <v>9.57</v>
      </c>
      <c r="N94" s="1">
        <v>13687.59</v>
      </c>
      <c r="O94">
        <v>-2208.2600000000002</v>
      </c>
      <c r="P94" s="2">
        <v>-0.162240834619058</v>
      </c>
      <c r="Q94">
        <v>2284.8500000000004</v>
      </c>
      <c r="R94" s="2">
        <v>0.200377277742016</v>
      </c>
    </row>
    <row r="95" spans="1:18">
      <c r="A95" t="s">
        <v>201</v>
      </c>
      <c r="B95" s="1" t="s">
        <v>202</v>
      </c>
      <c r="C95" s="1">
        <v>1083.8900000000001</v>
      </c>
      <c r="D95" s="1">
        <v>0.01</v>
      </c>
      <c r="E95" s="1">
        <v>1083.9000000000001</v>
      </c>
      <c r="F95" s="1">
        <v>1273.8</v>
      </c>
      <c r="G95" s="1">
        <v>1.2</v>
      </c>
      <c r="H95" s="1">
        <v>1275</v>
      </c>
      <c r="I95" s="1">
        <v>1290.4000000000001</v>
      </c>
      <c r="J95" s="1">
        <v>1.2</v>
      </c>
      <c r="K95" s="1">
        <v>1291.5999999999999</v>
      </c>
      <c r="L95" s="1">
        <v>1668.35</v>
      </c>
      <c r="M95" s="1">
        <v>1.37</v>
      </c>
      <c r="N95" s="1">
        <v>1669.72</v>
      </c>
      <c r="O95">
        <v>16.599999999999909</v>
      </c>
      <c r="P95" s="2">
        <v>1.30196078431372E-2</v>
      </c>
      <c r="Q95">
        <v>378.12000000000012</v>
      </c>
      <c r="R95" s="2">
        <v>0.29275317435738601</v>
      </c>
    </row>
    <row r="96" spans="1:18">
      <c r="A96" t="s">
        <v>203</v>
      </c>
      <c r="B96" s="1" t="s">
        <v>204</v>
      </c>
      <c r="C96" s="1">
        <v>6923.93</v>
      </c>
      <c r="D96" s="1">
        <v>4025.47</v>
      </c>
      <c r="E96" s="1">
        <v>10949.4</v>
      </c>
      <c r="F96" s="1">
        <v>7312.57</v>
      </c>
      <c r="G96" s="1">
        <v>6103.63</v>
      </c>
      <c r="H96" s="1">
        <v>13416.2</v>
      </c>
      <c r="I96" s="1">
        <v>7138.73</v>
      </c>
      <c r="J96" s="1">
        <v>5309.87</v>
      </c>
      <c r="K96" s="1">
        <v>12448.6</v>
      </c>
      <c r="L96" s="1">
        <v>7329.71</v>
      </c>
      <c r="M96" s="1">
        <v>6375.92</v>
      </c>
      <c r="N96" s="1">
        <v>13705.63</v>
      </c>
      <c r="O96">
        <v>-967.60000000000036</v>
      </c>
      <c r="P96" s="2">
        <v>-7.2121763241454404E-2</v>
      </c>
      <c r="Q96">
        <v>1257.0299999999988</v>
      </c>
      <c r="R96" s="2">
        <v>0.10097761997333</v>
      </c>
    </row>
    <row r="97" spans="1:18">
      <c r="A97" t="s">
        <v>205</v>
      </c>
      <c r="B97" s="1" t="s">
        <v>206</v>
      </c>
      <c r="C97" s="1">
        <v>3989.26</v>
      </c>
      <c r="D97" s="1">
        <v>30.02</v>
      </c>
      <c r="E97" s="1">
        <v>4019.28</v>
      </c>
      <c r="F97" s="1">
        <v>5426.19</v>
      </c>
      <c r="G97" s="1">
        <v>44.87</v>
      </c>
      <c r="H97" s="1">
        <v>5471.06</v>
      </c>
      <c r="I97" s="1">
        <v>5492.25</v>
      </c>
      <c r="J97" s="1">
        <v>59.04</v>
      </c>
      <c r="K97" s="1">
        <v>5551.29</v>
      </c>
      <c r="L97" s="1">
        <v>5457.75</v>
      </c>
      <c r="M97" s="1">
        <v>45.14</v>
      </c>
      <c r="N97" s="1">
        <v>5502.89</v>
      </c>
      <c r="O97">
        <v>80.229999999999563</v>
      </c>
      <c r="P97" s="2">
        <v>1.46644343143741E-2</v>
      </c>
      <c r="Q97">
        <v>-48.399999999999636</v>
      </c>
      <c r="R97" s="2">
        <v>-8.7186942134170001E-3</v>
      </c>
    </row>
    <row r="98" spans="1:18">
      <c r="A98" t="s">
        <v>207</v>
      </c>
      <c r="B98" s="1" t="s">
        <v>208</v>
      </c>
      <c r="C98" s="1">
        <v>109.77</v>
      </c>
      <c r="D98" s="1">
        <v>8429.2999999999993</v>
      </c>
      <c r="E98" s="1">
        <v>8539.07</v>
      </c>
      <c r="F98" s="1">
        <v>364.22</v>
      </c>
      <c r="G98" s="1">
        <v>2997.78</v>
      </c>
      <c r="H98" s="1">
        <v>3362</v>
      </c>
      <c r="I98" s="1">
        <v>252.66</v>
      </c>
      <c r="J98" s="1">
        <v>3019.78</v>
      </c>
      <c r="K98" s="1">
        <v>3272.44</v>
      </c>
      <c r="L98" s="1">
        <v>439.84</v>
      </c>
      <c r="M98" s="1">
        <v>3.34</v>
      </c>
      <c r="N98" s="1">
        <v>443.18</v>
      </c>
      <c r="O98">
        <v>-89.559999999999945</v>
      </c>
      <c r="P98" s="2">
        <v>-2.6638905413444401E-2</v>
      </c>
      <c r="Q98">
        <v>-2829.26</v>
      </c>
      <c r="R98" s="2">
        <v>-0.86457200132011602</v>
      </c>
    </row>
    <row r="99" spans="1:18">
      <c r="A99" t="s">
        <v>209</v>
      </c>
      <c r="B99" s="1" t="s">
        <v>210</v>
      </c>
      <c r="C99" s="1">
        <v>2895.37</v>
      </c>
      <c r="D99" s="1">
        <v>42.42</v>
      </c>
      <c r="E99" s="1">
        <v>2937.79</v>
      </c>
      <c r="F99" s="1">
        <v>5252.89</v>
      </c>
      <c r="G99" s="1">
        <v>19.11</v>
      </c>
      <c r="H99" s="1">
        <v>5272</v>
      </c>
      <c r="I99" s="1">
        <v>5748.14</v>
      </c>
      <c r="J99" s="1">
        <v>18.54</v>
      </c>
      <c r="K99" s="1">
        <v>5766.68</v>
      </c>
      <c r="L99" s="1">
        <v>5269.52</v>
      </c>
      <c r="M99" s="1">
        <v>9.49</v>
      </c>
      <c r="N99" s="1">
        <v>5279.01</v>
      </c>
      <c r="O99">
        <v>494.68000000000029</v>
      </c>
      <c r="P99" s="2">
        <v>9.3831562974203406E-2</v>
      </c>
      <c r="Q99">
        <v>-487.67000000000007</v>
      </c>
      <c r="R99" s="2">
        <v>-8.4566856492817394E-2</v>
      </c>
    </row>
    <row r="100" spans="1:18">
      <c r="A100" t="s">
        <v>211</v>
      </c>
      <c r="B100" s="1" t="s">
        <v>212</v>
      </c>
      <c r="C100" s="1">
        <v>159.9</v>
      </c>
      <c r="D100" s="1">
        <v>4.17</v>
      </c>
      <c r="E100" s="1">
        <v>164.07</v>
      </c>
      <c r="F100" s="1">
        <v>2534.9299999999998</v>
      </c>
      <c r="G100" s="1">
        <v>6.13</v>
      </c>
      <c r="H100" s="1">
        <v>2541.06</v>
      </c>
      <c r="I100" s="1">
        <v>1304.17</v>
      </c>
      <c r="J100" s="1">
        <v>6.13</v>
      </c>
      <c r="K100" s="1">
        <v>1310.3</v>
      </c>
      <c r="L100" s="1">
        <v>2433.87</v>
      </c>
      <c r="M100" s="1">
        <v>4.53</v>
      </c>
      <c r="N100" s="1">
        <v>2438.4</v>
      </c>
      <c r="O100">
        <v>-1230.76</v>
      </c>
      <c r="P100" s="2">
        <v>-0.48434905118336402</v>
      </c>
      <c r="Q100">
        <v>1128.1000000000001</v>
      </c>
      <c r="R100" s="2">
        <v>0.86094787453254995</v>
      </c>
    </row>
    <row r="101" spans="1:18">
      <c r="A101" t="s">
        <v>213</v>
      </c>
      <c r="B101" s="1" t="s">
        <v>214</v>
      </c>
      <c r="C101" s="1">
        <v>10129.81</v>
      </c>
      <c r="D101" s="1">
        <v>2.0499999999999998</v>
      </c>
      <c r="E101" s="1">
        <v>10131.86</v>
      </c>
      <c r="F101" s="1">
        <v>14894.08</v>
      </c>
      <c r="G101" s="1">
        <v>31.73</v>
      </c>
      <c r="H101" s="1">
        <v>14925.81</v>
      </c>
      <c r="I101" s="1">
        <v>10805.53</v>
      </c>
      <c r="J101" s="1">
        <v>18.649999999999999</v>
      </c>
      <c r="K101" s="1">
        <v>10824.18</v>
      </c>
      <c r="L101" s="1">
        <v>15389.54</v>
      </c>
      <c r="M101" s="1">
        <v>32.43</v>
      </c>
      <c r="N101" s="1">
        <v>15421.97</v>
      </c>
      <c r="O101">
        <v>-4101.6299999999992</v>
      </c>
      <c r="P101" s="2">
        <v>-0.27480116656985398</v>
      </c>
      <c r="Q101">
        <v>4597.7899999999991</v>
      </c>
      <c r="R101" s="2">
        <v>0.424770282829738</v>
      </c>
    </row>
    <row r="102" spans="1:18">
      <c r="A102" t="s">
        <v>215</v>
      </c>
      <c r="B102" s="1" t="s">
        <v>216</v>
      </c>
      <c r="C102" s="1">
        <v>24835.97</v>
      </c>
      <c r="D102" s="1">
        <v>6.52</v>
      </c>
      <c r="E102" s="1">
        <v>24842.49</v>
      </c>
      <c r="F102" s="1">
        <v>26884.99</v>
      </c>
      <c r="G102" s="1">
        <v>4.7</v>
      </c>
      <c r="H102" s="1">
        <v>26889.69</v>
      </c>
      <c r="I102" s="1">
        <v>24368.65</v>
      </c>
      <c r="J102" s="1">
        <v>5.26</v>
      </c>
      <c r="K102" s="1">
        <v>24373.91</v>
      </c>
      <c r="L102" s="1">
        <v>28177.42</v>
      </c>
      <c r="M102" s="1">
        <v>5.64</v>
      </c>
      <c r="N102" s="1">
        <v>28183.06</v>
      </c>
      <c r="O102">
        <v>-2515.7799999999988</v>
      </c>
      <c r="P102" s="2">
        <v>-9.3559278667771903E-2</v>
      </c>
      <c r="Q102">
        <v>3809.1500000000015</v>
      </c>
      <c r="R102" s="2">
        <v>0.156279809025306</v>
      </c>
    </row>
    <row r="103" spans="1:18">
      <c r="A103" t="s">
        <v>217</v>
      </c>
      <c r="B103" s="1" t="s">
        <v>218</v>
      </c>
      <c r="C103" s="1">
        <v>2708.49</v>
      </c>
      <c r="D103" s="1">
        <v>2.2400000000000002</v>
      </c>
      <c r="E103" s="1">
        <v>2710.73</v>
      </c>
      <c r="F103" s="1">
        <v>3788.49</v>
      </c>
      <c r="G103" s="1">
        <v>5.81</v>
      </c>
      <c r="H103" s="1">
        <v>3794.3</v>
      </c>
      <c r="I103" s="1">
        <v>3343.43</v>
      </c>
      <c r="J103" s="1">
        <v>3.11</v>
      </c>
      <c r="K103" s="1">
        <v>3346.54</v>
      </c>
      <c r="L103" s="1">
        <v>4461.51</v>
      </c>
      <c r="M103" s="1">
        <v>18.37</v>
      </c>
      <c r="N103" s="1">
        <v>4479.88</v>
      </c>
      <c r="O103">
        <v>-447.76000000000022</v>
      </c>
      <c r="P103" s="2">
        <v>-0.118008591835121</v>
      </c>
      <c r="Q103">
        <v>1133.3400000000001</v>
      </c>
      <c r="R103" s="2">
        <v>0.33866022817596703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AD4A-A10E-4210-B38E-22A5B621E947}">
  <dimension ref="A1:E9"/>
  <sheetViews>
    <sheetView workbookViewId="0">
      <selection activeCell="B4" sqref="B4"/>
    </sheetView>
  </sheetViews>
  <sheetFormatPr defaultRowHeight="14.5"/>
  <cols>
    <col min="1" max="1" width="41.7265625" customWidth="1"/>
    <col min="2" max="2" width="18.81640625" customWidth="1"/>
    <col min="5" max="5" width="18.1796875" customWidth="1"/>
  </cols>
  <sheetData>
    <row r="1" spans="1:5">
      <c r="A1" s="5" t="s">
        <v>223</v>
      </c>
      <c r="B1" s="5"/>
      <c r="C1" s="5"/>
      <c r="D1" s="5"/>
      <c r="E1" s="5"/>
    </row>
    <row r="3" spans="1:5">
      <c r="A3" s="3" t="s">
        <v>224</v>
      </c>
      <c r="B3" s="3" t="s">
        <v>225</v>
      </c>
    </row>
    <row r="4" spans="1:5">
      <c r="A4" s="3" t="s">
        <v>226</v>
      </c>
      <c r="B4" s="6">
        <f>SUM(GOI_Expenditure_Clean[Actual_2024_25_Total])</f>
        <v>4652867.4000000032</v>
      </c>
    </row>
    <row r="5" spans="1:5">
      <c r="A5" s="3" t="s">
        <v>227</v>
      </c>
      <c r="B5" s="6">
        <f>SUM(GOI_Expenditure_Clean[BE_2025_26_Total])</f>
        <v>5065345.0399999982</v>
      </c>
    </row>
    <row r="6" spans="1:5">
      <c r="A6" s="3" t="s">
        <v>228</v>
      </c>
      <c r="B6" s="6">
        <f>SUM(GOI_Expenditure_Clean[RE_2025_26_Total])</f>
        <v>4964841.7400000021</v>
      </c>
    </row>
    <row r="7" spans="1:5">
      <c r="A7" s="3" t="s">
        <v>229</v>
      </c>
      <c r="B7" s="6">
        <f>SUM(GOI_Expenditure_Clean[BE_2026_27_Total])</f>
        <v>5347314.8099999977</v>
      </c>
    </row>
    <row r="8" spans="1:5">
      <c r="A8" s="3" t="s">
        <v>230</v>
      </c>
      <c r="B8" s="4">
        <f>IFERROR((B6-B5)/B5,0)</f>
        <v>-1.9841353196345363E-2</v>
      </c>
    </row>
    <row r="9" spans="1:5">
      <c r="A9" s="3" t="s">
        <v>231</v>
      </c>
      <c r="B9" s="4">
        <f>IFERROR((B7-B6)/B6,0)</f>
        <v>7.7036306498663026E-2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0C4D-9484-49B5-BEC6-82D5DC478499}">
  <dimension ref="A3:F66"/>
  <sheetViews>
    <sheetView topLeftCell="A49" workbookViewId="0">
      <selection activeCell="G27" sqref="G27"/>
    </sheetView>
  </sheetViews>
  <sheetFormatPr defaultRowHeight="14.5"/>
  <cols>
    <col min="1" max="1" width="66.36328125" bestFit="1" customWidth="1"/>
    <col min="2" max="2" width="12.6328125" bestFit="1" customWidth="1"/>
    <col min="3" max="3" width="10.81640625" bestFit="1" customWidth="1"/>
    <col min="4" max="5" width="22.7265625" bestFit="1" customWidth="1"/>
    <col min="6" max="6" width="16.81640625" customWidth="1"/>
  </cols>
  <sheetData>
    <row r="3" spans="1:2">
      <c r="A3" s="7" t="s">
        <v>245</v>
      </c>
      <c r="B3" t="s">
        <v>244</v>
      </c>
    </row>
    <row r="4" spans="1:2">
      <c r="A4" t="s">
        <v>58</v>
      </c>
      <c r="B4" s="10">
        <v>171338.22</v>
      </c>
    </row>
    <row r="5" spans="1:2">
      <c r="A5" t="s">
        <v>116</v>
      </c>
      <c r="B5" s="10">
        <v>173802.53</v>
      </c>
    </row>
    <row r="6" spans="1:2">
      <c r="A6" t="s">
        <v>188</v>
      </c>
      <c r="B6" s="10">
        <v>194368.81</v>
      </c>
    </row>
    <row r="7" spans="1:2">
      <c r="A7" t="s">
        <v>56</v>
      </c>
      <c r="B7" s="10">
        <v>219306.47</v>
      </c>
    </row>
    <row r="8" spans="1:2">
      <c r="A8" t="s">
        <v>44</v>
      </c>
      <c r="B8" s="10">
        <v>235047.2</v>
      </c>
    </row>
    <row r="9" spans="1:2">
      <c r="A9" t="s">
        <v>184</v>
      </c>
      <c r="B9" s="10">
        <v>281377.32</v>
      </c>
    </row>
    <row r="10" spans="1:2">
      <c r="A10" t="s">
        <v>186</v>
      </c>
      <c r="B10" s="10">
        <v>309875.3</v>
      </c>
    </row>
    <row r="11" spans="1:2">
      <c r="A11" t="s">
        <v>54</v>
      </c>
      <c r="B11" s="10">
        <v>365478.98</v>
      </c>
    </row>
    <row r="12" spans="1:2">
      <c r="A12" t="s">
        <v>98</v>
      </c>
      <c r="B12" s="10">
        <v>394183.52</v>
      </c>
    </row>
    <row r="13" spans="1:2">
      <c r="A13" t="s">
        <v>92</v>
      </c>
      <c r="B13" s="10">
        <v>1403971.79</v>
      </c>
    </row>
    <row r="20" spans="1:6">
      <c r="A20" s="7" t="s">
        <v>245</v>
      </c>
      <c r="B20" t="s">
        <v>246</v>
      </c>
      <c r="C20" s="11" t="s">
        <v>247</v>
      </c>
      <c r="E20" s="15" t="s">
        <v>2</v>
      </c>
      <c r="F20" s="15" t="s">
        <v>232</v>
      </c>
    </row>
    <row r="21" spans="1:6">
      <c r="A21" t="s">
        <v>74</v>
      </c>
      <c r="B21" s="32">
        <v>81631</v>
      </c>
      <c r="C21" s="11">
        <v>1.6654673462838201</v>
      </c>
      <c r="E21" t="s">
        <v>74</v>
      </c>
      <c r="F21" s="32">
        <v>81631</v>
      </c>
    </row>
    <row r="22" spans="1:6">
      <c r="A22" t="s">
        <v>54</v>
      </c>
      <c r="B22" s="32">
        <v>38037.760000000009</v>
      </c>
      <c r="C22" s="11">
        <v>0.12202059266877401</v>
      </c>
      <c r="E22" t="s">
        <v>54</v>
      </c>
      <c r="F22" s="32">
        <v>38037.760000000009</v>
      </c>
    </row>
    <row r="23" spans="1:6">
      <c r="A23" t="s">
        <v>26</v>
      </c>
      <c r="B23" s="32">
        <v>30128.190000000002</v>
      </c>
      <c r="C23" s="11">
        <v>0.192509394741705</v>
      </c>
      <c r="E23" t="s">
        <v>26</v>
      </c>
      <c r="F23" s="32">
        <v>30128.190000000002</v>
      </c>
    </row>
    <row r="24" spans="1:6">
      <c r="A24" t="s">
        <v>98</v>
      </c>
      <c r="B24" s="32">
        <v>28439.820000000007</v>
      </c>
      <c r="C24" s="11">
        <v>8.6695540162969195E-2</v>
      </c>
      <c r="E24" t="s">
        <v>98</v>
      </c>
      <c r="F24" s="32">
        <v>28439.820000000007</v>
      </c>
    </row>
    <row r="25" spans="1:6">
      <c r="A25" t="s">
        <v>44</v>
      </c>
      <c r="B25" s="32">
        <v>23641.279999999999</v>
      </c>
      <c r="C25" s="11">
        <v>0.111828607624264</v>
      </c>
      <c r="E25" t="s">
        <v>44</v>
      </c>
      <c r="F25" s="32">
        <v>23641.279999999999</v>
      </c>
    </row>
    <row r="26" spans="1:6">
      <c r="A26" t="s">
        <v>166</v>
      </c>
      <c r="B26" s="32">
        <v>10473.439999999999</v>
      </c>
      <c r="C26" s="11">
        <v>0.54190998039002602</v>
      </c>
      <c r="E26" t="s">
        <v>166</v>
      </c>
      <c r="F26" s="32">
        <v>10473.439999999999</v>
      </c>
    </row>
    <row r="27" spans="1:6">
      <c r="A27" t="s">
        <v>58</v>
      </c>
      <c r="B27" s="32">
        <v>8391.5</v>
      </c>
      <c r="C27" s="11">
        <v>5.2187568021393703E-2</v>
      </c>
      <c r="E27" t="s">
        <v>58</v>
      </c>
      <c r="F27" s="32">
        <v>8391.5</v>
      </c>
    </row>
    <row r="28" spans="1:6">
      <c r="A28" t="s">
        <v>56</v>
      </c>
      <c r="B28" s="32">
        <v>6454.2000000000116</v>
      </c>
      <c r="C28" s="11">
        <v>3.5856666666666703E-2</v>
      </c>
      <c r="E28" t="s">
        <v>56</v>
      </c>
      <c r="F28" s="32">
        <v>6454.2000000000116</v>
      </c>
    </row>
    <row r="29" spans="1:6">
      <c r="A29" t="s">
        <v>112</v>
      </c>
      <c r="B29" s="32">
        <v>2922.96</v>
      </c>
      <c r="C29" s="11">
        <v>0.64139524575451101</v>
      </c>
      <c r="E29" t="s">
        <v>112</v>
      </c>
      <c r="F29" s="32">
        <v>2922.96</v>
      </c>
    </row>
    <row r="30" spans="1:6">
      <c r="A30" t="s">
        <v>124</v>
      </c>
      <c r="B30" s="32">
        <v>2685.2800000000007</v>
      </c>
      <c r="C30" s="11">
        <v>0.572292019649841</v>
      </c>
      <c r="E30" t="s">
        <v>124</v>
      </c>
      <c r="F30" s="32">
        <v>2685.2800000000007</v>
      </c>
    </row>
    <row r="31" spans="1:6">
      <c r="A31" t="s">
        <v>0</v>
      </c>
      <c r="B31" s="1">
        <v>232805.43000000002</v>
      </c>
      <c r="C31" s="11">
        <v>4.0221629619639705</v>
      </c>
    </row>
    <row r="34" spans="1:2">
      <c r="A34" s="16" t="s">
        <v>237</v>
      </c>
      <c r="B34" s="8" t="s">
        <v>238</v>
      </c>
    </row>
    <row r="35" spans="1:2">
      <c r="A35" s="3" t="s">
        <v>239</v>
      </c>
      <c r="B35" s="17">
        <f>SUM(GOI_Expenditure_Clean[Actual_2024_25_Total])</f>
        <v>4652867.4000000032</v>
      </c>
    </row>
    <row r="36" spans="1:2">
      <c r="A36" s="3" t="s">
        <v>240</v>
      </c>
      <c r="B36" s="17">
        <f>SUM(GOI_Expenditure_Clean[BE_2025_26_Total])</f>
        <v>5065345.0399999982</v>
      </c>
    </row>
    <row r="37" spans="1:2">
      <c r="A37" s="3" t="s">
        <v>241</v>
      </c>
      <c r="B37" s="17">
        <f>SUM(GOI_Expenditure_Clean[RE_2025_26_Total])</f>
        <v>4964841.7400000021</v>
      </c>
    </row>
    <row r="38" spans="1:2">
      <c r="A38" s="3" t="s">
        <v>242</v>
      </c>
      <c r="B38" s="17">
        <f>SUM(GOI_Expenditure_Clean[BE_2026_27_Total])</f>
        <v>5347314.8099999977</v>
      </c>
    </row>
    <row r="39" spans="1:2">
      <c r="B39" s="9"/>
    </row>
    <row r="55" spans="1:2">
      <c r="A55" s="7" t="s">
        <v>245</v>
      </c>
      <c r="B55" t="s">
        <v>246</v>
      </c>
    </row>
    <row r="56" spans="1:2">
      <c r="A56" t="s">
        <v>84</v>
      </c>
      <c r="B56" s="1">
        <v>-112530.62999999999</v>
      </c>
    </row>
    <row r="57" spans="1:2">
      <c r="A57" t="s">
        <v>140</v>
      </c>
      <c r="B57" s="1">
        <v>-51194.94</v>
      </c>
    </row>
    <row r="58" spans="1:2">
      <c r="A58" t="s">
        <v>134</v>
      </c>
      <c r="B58" s="1">
        <v>-39573.22</v>
      </c>
    </row>
    <row r="59" spans="1:2">
      <c r="A59" t="s">
        <v>40</v>
      </c>
      <c r="B59" s="1">
        <v>-27607.070000000007</v>
      </c>
    </row>
    <row r="60" spans="1:2">
      <c r="A60" t="s">
        <v>142</v>
      </c>
      <c r="B60" s="1">
        <v>-19958.14</v>
      </c>
    </row>
    <row r="61" spans="1:2">
      <c r="A61" t="s">
        <v>192</v>
      </c>
      <c r="B61" s="1">
        <v>-16587.32</v>
      </c>
    </row>
    <row r="62" spans="1:2">
      <c r="A62" t="s">
        <v>150</v>
      </c>
      <c r="B62" s="1">
        <v>-11072.170000000002</v>
      </c>
    </row>
    <row r="63" spans="1:2">
      <c r="A63" t="s">
        <v>64</v>
      </c>
      <c r="B63" s="1">
        <v>-8004.9600000000064</v>
      </c>
    </row>
    <row r="64" spans="1:2">
      <c r="A64" t="s">
        <v>138</v>
      </c>
      <c r="B64" s="1">
        <v>-6871.09</v>
      </c>
    </row>
    <row r="65" spans="1:2">
      <c r="A65" t="s">
        <v>68</v>
      </c>
      <c r="B65" s="1">
        <v>-5793.2999999999993</v>
      </c>
    </row>
    <row r="66" spans="1:2">
      <c r="A66" t="s">
        <v>0</v>
      </c>
      <c r="B66" s="1">
        <v>-299192.84000000003</v>
      </c>
    </row>
  </sheetData>
  <pageMargins left="0.7" right="0.7" top="0.75" bottom="0.75" header="0.3" footer="0.3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943A-8B44-46CA-A987-2A30FB62DF5F}">
  <sheetPr>
    <pageSetUpPr autoPageBreaks="0" fitToPage="1"/>
  </sheetPr>
  <dimension ref="A1:P12"/>
  <sheetViews>
    <sheetView showGridLines="0" tabSelected="1" topLeftCell="A31" zoomScaleNormal="100" workbookViewId="0">
      <selection activeCell="I52" sqref="I52"/>
    </sheetView>
  </sheetViews>
  <sheetFormatPr defaultRowHeight="14.5"/>
  <cols>
    <col min="1" max="15" width="11.6328125" style="14" customWidth="1"/>
    <col min="16" max="16" width="12.81640625" style="14" customWidth="1"/>
    <col min="17" max="17" width="8.7265625" style="14" customWidth="1"/>
    <col min="18" max="16384" width="8.7265625" style="14"/>
  </cols>
  <sheetData>
    <row r="1" spans="1:16" s="12" customFormat="1" ht="25" customHeight="1">
      <c r="A1" s="18"/>
      <c r="B1" s="18"/>
      <c r="C1" s="18"/>
      <c r="D1" s="18"/>
      <c r="E1" s="13"/>
      <c r="F1" s="13"/>
      <c r="G1" s="13"/>
      <c r="H1" s="13"/>
      <c r="I1" s="13"/>
      <c r="J1" s="13"/>
      <c r="K1" s="13"/>
      <c r="L1" s="13"/>
      <c r="M1" s="13"/>
      <c r="N1" s="13"/>
      <c r="O1" s="21" t="s">
        <v>243</v>
      </c>
      <c r="P1" s="22"/>
    </row>
    <row r="2" spans="1:16" s="20" customFormat="1" ht="15" customHeight="1">
      <c r="A2" s="18"/>
      <c r="B2" s="18"/>
      <c r="C2" s="18"/>
      <c r="D2" s="18"/>
      <c r="E2" s="13"/>
      <c r="F2" s="13"/>
      <c r="G2" s="13"/>
      <c r="H2" s="13"/>
      <c r="I2" s="13"/>
      <c r="J2" s="13"/>
      <c r="K2" s="13"/>
      <c r="L2" s="13"/>
      <c r="M2" s="13"/>
      <c r="N2" s="13"/>
      <c r="O2" s="22"/>
      <c r="P2" s="22"/>
    </row>
    <row r="3" spans="1:16" ht="4" customHeight="1"/>
    <row r="4" spans="1:16" ht="14.5" customHeight="1">
      <c r="A4" s="23" t="s">
        <v>233</v>
      </c>
      <c r="B4" s="23"/>
      <c r="C4" s="23"/>
      <c r="D4" s="23"/>
      <c r="E4" s="23" t="s">
        <v>234</v>
      </c>
      <c r="F4" s="23"/>
      <c r="G4" s="23"/>
      <c r="H4" s="23"/>
      <c r="I4" s="24" t="s">
        <v>235</v>
      </c>
      <c r="J4" s="24"/>
      <c r="K4" s="24"/>
      <c r="L4" s="24"/>
      <c r="M4" s="26" t="s">
        <v>236</v>
      </c>
      <c r="N4" s="26"/>
      <c r="O4" s="26"/>
      <c r="P4" s="26"/>
    </row>
    <row r="5" spans="1:16" ht="12.5" customHeight="1">
      <c r="A5" s="23"/>
      <c r="B5" s="23"/>
      <c r="C5" s="23"/>
      <c r="D5" s="23"/>
      <c r="E5" s="23"/>
      <c r="F5" s="23"/>
      <c r="G5" s="23"/>
      <c r="H5" s="23"/>
      <c r="I5" s="24"/>
      <c r="J5" s="24"/>
      <c r="K5" s="24"/>
      <c r="L5" s="24"/>
      <c r="M5" s="26"/>
      <c r="N5" s="26"/>
      <c r="O5" s="26"/>
      <c r="P5" s="26"/>
    </row>
    <row r="6" spans="1:16" ht="14.5" customHeight="1">
      <c r="A6" s="23">
        <f>SUM(GOI_Expenditure_Clean[Actual_2024_25_Total])</f>
        <v>4652867.4000000032</v>
      </c>
      <c r="B6" s="23"/>
      <c r="C6" s="23"/>
      <c r="D6" s="23"/>
      <c r="E6" s="19">
        <f>SUM(GOI_Expenditure_Clean[BE_2025_26_Total])</f>
        <v>5065345.0399999982</v>
      </c>
      <c r="F6" s="19"/>
      <c r="G6" s="19"/>
      <c r="H6" s="19"/>
      <c r="I6" s="25">
        <f>SUM(GOI_Expenditure_Clean[RE_2025_26_Total])</f>
        <v>4964841.7400000021</v>
      </c>
      <c r="J6" s="25"/>
      <c r="K6" s="25"/>
      <c r="L6" s="25"/>
      <c r="M6" s="27">
        <f>SUM(GOI_Expenditure_Clean[BE_2026_27_Total])</f>
        <v>5347314.8099999977</v>
      </c>
      <c r="N6" s="27"/>
      <c r="O6" s="27"/>
      <c r="P6" s="27"/>
    </row>
    <row r="7" spans="1:16" ht="9" customHeight="1">
      <c r="A7" s="23"/>
      <c r="B7" s="23"/>
      <c r="C7" s="23"/>
      <c r="D7" s="23"/>
      <c r="E7" s="19"/>
      <c r="F7" s="19"/>
      <c r="G7" s="19"/>
      <c r="H7" s="19"/>
      <c r="I7" s="25"/>
      <c r="J7" s="25"/>
      <c r="K7" s="25"/>
      <c r="L7" s="25"/>
      <c r="M7" s="27"/>
      <c r="N7" s="27"/>
      <c r="O7" s="27"/>
      <c r="P7" s="27"/>
    </row>
    <row r="8" spans="1:16" ht="4.5" customHeight="1"/>
    <row r="9" spans="1:16">
      <c r="A9" s="28"/>
      <c r="B9" s="28"/>
      <c r="C9" s="28"/>
      <c r="D9" s="28"/>
      <c r="E9" s="28"/>
      <c r="F9" s="28"/>
      <c r="G9" s="28"/>
      <c r="H9" s="28"/>
      <c r="I9" s="29"/>
      <c r="J9" s="29"/>
      <c r="K9" s="29"/>
      <c r="L9" s="29"/>
      <c r="M9" s="29"/>
      <c r="N9" s="29"/>
      <c r="O9" s="29"/>
      <c r="P9" s="29"/>
    </row>
    <row r="10" spans="1:16">
      <c r="A10" s="28"/>
      <c r="B10" s="28"/>
      <c r="C10" s="28"/>
      <c r="D10" s="28"/>
      <c r="E10" s="28"/>
      <c r="F10" s="28"/>
      <c r="G10" s="28"/>
      <c r="H10" s="28"/>
      <c r="I10" s="29"/>
      <c r="J10" s="29"/>
      <c r="K10" s="29"/>
      <c r="L10" s="29"/>
      <c r="M10" s="29"/>
      <c r="N10" s="29"/>
      <c r="O10" s="29"/>
      <c r="P10" s="29"/>
    </row>
    <row r="11" spans="1:16">
      <c r="A11" s="28"/>
      <c r="B11" s="28"/>
      <c r="C11" s="28"/>
      <c r="D11" s="28"/>
      <c r="E11" s="28"/>
      <c r="F11" s="28"/>
      <c r="G11" s="28"/>
      <c r="H11" s="28"/>
      <c r="I11" s="29"/>
      <c r="J11" s="29"/>
      <c r="K11" s="29"/>
      <c r="L11" s="29"/>
      <c r="M11" s="29"/>
      <c r="N11" s="29"/>
      <c r="O11" s="29"/>
      <c r="P11" s="29"/>
    </row>
    <row r="12" spans="1:16">
      <c r="A12" s="28"/>
      <c r="B12" s="28"/>
      <c r="C12" s="28"/>
      <c r="D12" s="28"/>
      <c r="E12" s="28"/>
      <c r="F12" s="28"/>
      <c r="G12" s="28"/>
      <c r="H12" s="28"/>
      <c r="I12" s="29"/>
      <c r="J12" s="29"/>
      <c r="K12" s="29"/>
      <c r="L12" s="29"/>
      <c r="M12" s="29"/>
      <c r="N12" s="29"/>
      <c r="O12" s="29"/>
      <c r="P12" s="29"/>
    </row>
  </sheetData>
  <mergeCells count="13">
    <mergeCell ref="A9:H12"/>
    <mergeCell ref="I9:P12"/>
    <mergeCell ref="M4:P5"/>
    <mergeCell ref="M6:P7"/>
    <mergeCell ref="O1:P2"/>
    <mergeCell ref="E1:K2"/>
    <mergeCell ref="L1:N2"/>
    <mergeCell ref="A4:D5"/>
    <mergeCell ref="A6:D7"/>
    <mergeCell ref="E4:H5"/>
    <mergeCell ref="E6:H7"/>
    <mergeCell ref="I4:L5"/>
    <mergeCell ref="I6:L7"/>
  </mergeCells>
  <pageMargins left="0.2" right="0.2" top="0.2" bottom="0.2" header="0" footer="0"/>
  <pageSetup paperSize="9"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F88E-280D-4E31-8F83-407C0E3CB095}">
  <dimension ref="A1:F11"/>
  <sheetViews>
    <sheetView workbookViewId="0">
      <selection activeCell="M12" sqref="M12"/>
    </sheetView>
  </sheetViews>
  <sheetFormatPr defaultRowHeight="14.5"/>
  <cols>
    <col min="5" max="5" width="23.81640625" customWidth="1"/>
    <col min="6" max="6" width="21" customWidth="1"/>
  </cols>
  <sheetData>
    <row r="1" spans="1:6" ht="23.5">
      <c r="A1" s="30" t="str">
        <f>TEXT(IFERROR((SUM(GOI_Expenditure_Clean[RE_2025_26_Total])-SUM(GOI_Expenditure_Clean[BE_2025_26_Total]))/SUM(GOI_Expenditure_Clean[BE_2025_26_Total]),0),"+0.00%;-0.00%")</f>
        <v>-1.98%</v>
      </c>
      <c r="B1" s="31" t="str">
        <f>TEXT(IFERROR((SUM(GOI_Expenditure_Clean[BE_2026_27_Total])-SUM(GOI_Expenditure_Clean[RE_2025_26_Total]))/SUM(GOI_Expenditure_Clean[RE_2025_26_Total]),0),"+0.00%;-0.00%")</f>
        <v>+7.70%</v>
      </c>
      <c r="C1" s="3"/>
      <c r="D1" s="3"/>
      <c r="E1" s="16" t="s">
        <v>245</v>
      </c>
      <c r="F1" s="8" t="s">
        <v>246</v>
      </c>
    </row>
    <row r="2" spans="1:6">
      <c r="E2" t="s">
        <v>84</v>
      </c>
      <c r="F2" s="1">
        <v>-112530.62999999999</v>
      </c>
    </row>
    <row r="3" spans="1:6">
      <c r="E3" t="s">
        <v>140</v>
      </c>
      <c r="F3" s="1">
        <v>-51194.94</v>
      </c>
    </row>
    <row r="4" spans="1:6">
      <c r="E4" t="s">
        <v>134</v>
      </c>
      <c r="F4" s="1">
        <v>-39573.22</v>
      </c>
    </row>
    <row r="5" spans="1:6">
      <c r="E5" t="s">
        <v>40</v>
      </c>
      <c r="F5" s="1">
        <v>-27607.070000000007</v>
      </c>
    </row>
    <row r="6" spans="1:6">
      <c r="E6" t="s">
        <v>142</v>
      </c>
      <c r="F6" s="1">
        <v>-19958.14</v>
      </c>
    </row>
    <row r="7" spans="1:6">
      <c r="E7" t="s">
        <v>192</v>
      </c>
      <c r="F7" s="1">
        <v>-16587.32</v>
      </c>
    </row>
    <row r="8" spans="1:6">
      <c r="E8" t="s">
        <v>150</v>
      </c>
      <c r="F8" s="1">
        <v>-11072.170000000002</v>
      </c>
    </row>
    <row r="9" spans="1:6">
      <c r="E9" t="s">
        <v>64</v>
      </c>
      <c r="F9" s="1">
        <v>-8004.9600000000064</v>
      </c>
    </row>
    <row r="10" spans="1:6">
      <c r="E10" t="s">
        <v>138</v>
      </c>
      <c r="F10" s="1">
        <v>-6871.09</v>
      </c>
    </row>
    <row r="11" spans="1:6">
      <c r="E11" t="s">
        <v>68</v>
      </c>
      <c r="F11" s="1">
        <v>-5793.2999999999993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1734F5-2F6D-4D60-AC34-9D95D918CD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GOI_Expenditure_Clean</vt:lpstr>
      <vt:lpstr>Analysis</vt:lpstr>
      <vt:lpstr>Pivot_Analysis</vt:lpstr>
      <vt:lpstr>Dashboard</vt:lpstr>
      <vt:lpstr>Calc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Sanchu</dc:creator>
  <cp:lastModifiedBy>Sanchari Sarkar</cp:lastModifiedBy>
  <cp:lastPrinted>2026-09-21T09:24:02Z</cp:lastPrinted>
  <dcterms:created xsi:type="dcterms:W3CDTF">2026-09-18T16:51:50Z</dcterms:created>
  <dcterms:modified xsi:type="dcterms:W3CDTF">2026-09-21T09:25:03Z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